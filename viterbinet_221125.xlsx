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zu\viterbitransformed\"/>
    </mc:Choice>
  </mc:AlternateContent>
  <xr:revisionPtr revIDLastSave="0" documentId="8_{E07595BF-1EA8-4B11-B4B5-31BA682C7A4C}" xr6:coauthVersionLast="47" xr6:coauthVersionMax="47" xr10:uidLastSave="{00000000-0000-0000-0000-000000000000}"/>
  <bookViews>
    <workbookView xWindow="-120" yWindow="-120" windowWidth="29040" windowHeight="15840" activeTab="1" xr2:uid="{D6EC87B2-A800-4B7E-892E-68AB4274FA5A}"/>
  </bookViews>
  <sheets>
    <sheet name="mc_0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" l="1" a="1"/>
  <c r="I23" i="2" s="1"/>
  <c r="I16" i="3" a="1"/>
  <c r="I16" i="3" s="1"/>
  <c r="I18" i="3" a="1"/>
  <c r="I18" i="3" s="1"/>
  <c r="I17" i="3" a="1"/>
  <c r="I17" i="3" s="1"/>
  <c r="J18" i="3" a="1"/>
  <c r="J18" i="3" s="1"/>
  <c r="I3" i="3" a="1"/>
  <c r="I3" i="3"/>
  <c r="J3" i="3" a="1"/>
  <c r="J3" i="3"/>
  <c r="I4" i="3" a="1"/>
  <c r="I4" i="3"/>
  <c r="J4" i="3" a="1"/>
  <c r="J4" i="3"/>
  <c r="I5" i="3" a="1"/>
  <c r="I5" i="3"/>
  <c r="J5" i="3" a="1"/>
  <c r="J5" i="3"/>
  <c r="I6" i="3" a="1"/>
  <c r="I6" i="3"/>
  <c r="J6" i="3" a="1"/>
  <c r="J6" i="3"/>
  <c r="I7" i="3" a="1"/>
  <c r="I7" i="3"/>
  <c r="J7" i="3" a="1"/>
  <c r="J7" i="3"/>
  <c r="I8" i="3" a="1"/>
  <c r="I8" i="3"/>
  <c r="J8" i="3" a="1"/>
  <c r="J8" i="3"/>
  <c r="I9" i="3" a="1"/>
  <c r="I9" i="3"/>
  <c r="J9" i="3" a="1"/>
  <c r="J9" i="3"/>
  <c r="I10" i="3" a="1"/>
  <c r="I10" i="3"/>
  <c r="J10" i="3" a="1"/>
  <c r="J10" i="3"/>
  <c r="I11" i="3" a="1"/>
  <c r="I11" i="3"/>
  <c r="J11" i="3" a="1"/>
  <c r="J11" i="3"/>
  <c r="I12" i="3" a="1"/>
  <c r="I12" i="3"/>
  <c r="J12" i="3" a="1"/>
  <c r="J12" i="3"/>
  <c r="I13" i="3" a="1"/>
  <c r="I13" i="3"/>
  <c r="J13" i="3" a="1"/>
  <c r="J13" i="3"/>
  <c r="I14" i="3" a="1"/>
  <c r="I14" i="3"/>
  <c r="J14" i="3" a="1"/>
  <c r="J14" i="3"/>
  <c r="I15" i="3" a="1"/>
  <c r="I15" i="3" s="1"/>
  <c r="J15" i="3" a="1"/>
  <c r="J15" i="3"/>
  <c r="J16" i="3" a="1"/>
  <c r="J16" i="3" s="1"/>
  <c r="J17" i="3" a="1"/>
  <c r="J17" i="3" s="1"/>
  <c r="J2" i="3" a="1"/>
  <c r="J2" i="3" s="1"/>
  <c r="I2" i="3" a="1"/>
  <c r="I2" i="3"/>
  <c r="I22" i="2" a="1"/>
  <c r="I22" i="2" s="1"/>
  <c r="K1" i="3" a="1"/>
  <c r="K1" i="3" s="1"/>
  <c r="L2" i="3" a="1"/>
  <c r="L2" i="3" s="1"/>
  <c r="L3" i="3" a="1"/>
  <c r="L3" i="3" s="1"/>
  <c r="L4" i="3" a="1"/>
  <c r="L4" i="3" s="1"/>
  <c r="L5" i="3" a="1"/>
  <c r="L5" i="3" s="1"/>
  <c r="L6" i="3" a="1"/>
  <c r="L6" i="3" s="1"/>
  <c r="L7" i="3" a="1"/>
  <c r="L7" i="3" s="1"/>
  <c r="L8" i="3" a="1"/>
  <c r="L8" i="3" s="1"/>
  <c r="L9" i="3" a="1"/>
  <c r="L9" i="3" s="1"/>
  <c r="L10" i="3" a="1"/>
  <c r="L10" i="3" s="1"/>
  <c r="L11" i="3" a="1"/>
  <c r="L11" i="3" s="1"/>
  <c r="L12" i="3" a="1"/>
  <c r="L12" i="3" s="1"/>
  <c r="L13" i="3" a="1"/>
  <c r="L13" i="3" s="1"/>
  <c r="L14" i="3" a="1"/>
  <c r="L14" i="3" s="1"/>
  <c r="L15" i="3" a="1"/>
  <c r="L15" i="3" s="1"/>
  <c r="L16" i="3" a="1"/>
  <c r="L16" i="3" s="1"/>
  <c r="L17" i="3" a="1"/>
  <c r="L17" i="3" s="1"/>
  <c r="L18" i="3" a="1"/>
  <c r="L18" i="3" s="1"/>
  <c r="K3" i="3" a="1"/>
  <c r="K3" i="3" s="1"/>
  <c r="K4" i="3" a="1"/>
  <c r="K4" i="3" s="1"/>
  <c r="K5" i="3" a="1"/>
  <c r="K5" i="3" s="1"/>
  <c r="K6" i="3" a="1"/>
  <c r="K6" i="3" s="1"/>
  <c r="K7" i="3" a="1"/>
  <c r="K7" i="3" s="1"/>
  <c r="K8" i="3" a="1"/>
  <c r="K8" i="3" s="1"/>
  <c r="K9" i="3" a="1"/>
  <c r="K9" i="3" s="1"/>
  <c r="K10" i="3" a="1"/>
  <c r="K10" i="3" s="1"/>
  <c r="K11" i="3" a="1"/>
  <c r="K11" i="3" s="1"/>
  <c r="K12" i="3" a="1"/>
  <c r="K12" i="3" s="1"/>
  <c r="K13" i="3" a="1"/>
  <c r="K13" i="3" s="1"/>
  <c r="K14" i="3" a="1"/>
  <c r="K14" i="3" s="1"/>
  <c r="K15" i="3" a="1"/>
  <c r="K15" i="3" s="1"/>
  <c r="K16" i="3" a="1"/>
  <c r="K16" i="3" s="1"/>
  <c r="K17" i="3" a="1"/>
  <c r="K17" i="3" s="1"/>
  <c r="K18" i="3" a="1"/>
  <c r="K18" i="3" s="1"/>
  <c r="K2" i="3" a="1"/>
  <c r="K2" i="3" s="1"/>
  <c r="Q4" i="2" a="1"/>
  <c r="Q4" i="2" s="1"/>
  <c r="P4" i="2" a="1"/>
  <c r="P4" i="2" s="1"/>
  <c r="Q3" i="2"/>
  <c r="Q3" i="2" a="1"/>
  <c r="P3" i="2"/>
  <c r="P3" i="2" a="1"/>
  <c r="Q2" i="2" a="1"/>
  <c r="Q2" i="2" s="1"/>
  <c r="P2" i="2" a="1"/>
  <c r="P2" i="2" s="1"/>
  <c r="P1" i="2" a="1"/>
  <c r="P1" i="2" s="1"/>
  <c r="K2" i="2" a="1"/>
  <c r="K2" i="2" s="1"/>
  <c r="K1" i="2" a="1"/>
  <c r="K1" i="2" s="1"/>
  <c r="L4" i="2" a="1"/>
  <c r="L4" i="2" s="1"/>
  <c r="K4" i="2" a="1"/>
  <c r="K4" i="2" s="1"/>
  <c r="L3" i="2" a="1"/>
  <c r="L3" i="2" s="1"/>
  <c r="K3" i="2" a="1"/>
  <c r="K3" i="2" s="1"/>
  <c r="L2" i="2" a="1"/>
  <c r="L2" i="2" s="1"/>
  <c r="N3" i="2" a="1"/>
  <c r="N3" i="2" s="1"/>
  <c r="O3" i="2" a="1"/>
  <c r="O3" i="2" s="1"/>
  <c r="N4" i="2" a="1"/>
  <c r="N4" i="2" s="1"/>
  <c r="O4" i="2" a="1"/>
  <c r="O4" i="2" s="1"/>
  <c r="O2" i="2" a="1"/>
  <c r="O2" i="2" s="1"/>
  <c r="N2" i="2" a="1"/>
  <c r="N2" i="2" s="1"/>
  <c r="O1" i="2"/>
  <c r="N1" i="2"/>
  <c r="AA29" i="2"/>
  <c r="P29" i="2"/>
  <c r="H25" i="2"/>
  <c r="H24" i="2"/>
  <c r="H29" i="2"/>
  <c r="I20" i="2" a="1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H20" i="2"/>
  <c r="I19" i="2" a="1"/>
  <c r="I19" i="2" s="1"/>
  <c r="J19" i="2" s="1"/>
  <c r="K19" i="2" s="1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H19" i="2"/>
  <c r="H14" i="2"/>
  <c r="H13" i="2"/>
  <c r="J14" i="2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I14" i="2" a="1"/>
  <c r="I14" i="2" s="1"/>
  <c r="K13" i="2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J13" i="2"/>
  <c r="I13" i="2" a="1"/>
  <c r="I13" i="2" s="1"/>
  <c r="H23" i="2"/>
  <c r="H22" i="2"/>
  <c r="I18" i="2" a="1"/>
  <c r="I18" i="2" s="1"/>
  <c r="H18" i="2"/>
  <c r="I17" i="2" a="1"/>
  <c r="I17" i="2" s="1"/>
  <c r="H17" i="2"/>
  <c r="I12" i="2" a="1"/>
  <c r="I12" i="2" s="1"/>
  <c r="I11" i="2" a="1"/>
  <c r="I11" i="2" s="1"/>
  <c r="I22" i="3" a="1"/>
  <c r="I22" i="3" s="1"/>
  <c r="H12" i="2"/>
  <c r="H11" i="2"/>
  <c r="I23" i="3" a="1"/>
  <c r="I23" i="3" s="1"/>
  <c r="H23" i="3"/>
  <c r="H22" i="3"/>
  <c r="H44" i="3"/>
  <c r="I44" i="3" a="1"/>
  <c r="I44" i="3" s="1"/>
  <c r="H43" i="3"/>
  <c r="I43" i="3" a="1"/>
  <c r="I43" i="3" s="1"/>
  <c r="H46" i="3"/>
  <c r="H25" i="3"/>
  <c r="H2" i="3" a="1"/>
  <c r="H2" i="3" s="1"/>
  <c r="J1" i="3"/>
  <c r="I1" i="3"/>
  <c r="J2" i="1" a="1"/>
  <c r="J2" i="1" s="1"/>
  <c r="I2" i="1" a="1"/>
  <c r="I2" i="1" s="1"/>
  <c r="H2" i="1" a="1"/>
  <c r="H2" i="1" s="1"/>
  <c r="I3" i="2" a="1"/>
  <c r="I3" i="2" s="1"/>
  <c r="J3" i="2" a="1"/>
  <c r="J3" i="2" s="1"/>
  <c r="I4" i="2" a="1"/>
  <c r="I4" i="2" s="1"/>
  <c r="J4" i="2" a="1"/>
  <c r="J4" i="2" s="1"/>
  <c r="J2" i="2" a="1"/>
  <c r="J2" i="2" s="1"/>
  <c r="I2" i="2" a="1"/>
  <c r="I2" i="2" s="1"/>
  <c r="H2" i="2" a="1"/>
  <c r="H2" i="2" s="1"/>
  <c r="J1" i="2"/>
  <c r="I1" i="2"/>
  <c r="J1" i="1"/>
  <c r="I1" i="1"/>
  <c r="I25" i="2" l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I24" i="2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M2" i="2" a="1"/>
  <c r="M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<sst xmlns="http://schemas.openxmlformats.org/spreadsheetml/2006/main" count="2621" uniqueCount="7">
  <si>
    <t>model</t>
  </si>
  <si>
    <t>snr</t>
  </si>
  <si>
    <t>final-ser</t>
  </si>
  <si>
    <t>model-size</t>
  </si>
  <si>
    <t>model-run-time</t>
  </si>
  <si>
    <t>Transformer</t>
  </si>
  <si>
    <t>ViterbiNet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</si>
</sst>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mc_0!$I$1</c:f>
              <c:strCache>
                <c:ptCount val="1"/>
                <c:pt idx="0">
                  <c:v>Transformer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mc_0!$H$2:$H$19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mc_0!$I$2:$I$19</c:f>
              <c:numCache>
                <c:formatCode>General</c:formatCode>
                <c:ptCount val="18"/>
                <c:pt idx="0">
                  <c:v>0.19488884528477901</c:v>
                </c:pt>
                <c:pt idx="1">
                  <c:v>0.15899995247522899</c:v>
                </c:pt>
                <c:pt idx="2">
                  <c:v>0.13988884766896501</c:v>
                </c:pt>
                <c:pt idx="3">
                  <c:v>0.112444403171539</c:v>
                </c:pt>
                <c:pt idx="4">
                  <c:v>8.9444400469462004E-2</c:v>
                </c:pt>
                <c:pt idx="5">
                  <c:v>6.9888842105865406E-2</c:v>
                </c:pt>
                <c:pt idx="6">
                  <c:v>4.7666624387105297E-2</c:v>
                </c:pt>
                <c:pt idx="7">
                  <c:v>3.5555517673492402E-2</c:v>
                </c:pt>
                <c:pt idx="8">
                  <c:v>2.1777748266855801E-2</c:v>
                </c:pt>
                <c:pt idx="9">
                  <c:v>1.44444290796915E-2</c:v>
                </c:pt>
                <c:pt idx="10">
                  <c:v>5.22221485773722E-3</c:v>
                </c:pt>
                <c:pt idx="11">
                  <c:v>2.99999515215555E-3</c:v>
                </c:pt>
                <c:pt idx="12">
                  <c:v>6.6666364669799795E-4</c:v>
                </c:pt>
                <c:pt idx="13">
                  <c:v>4.4444243113199802E-4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D6-4191-B77C-CE515D93A462}"/>
            </c:ext>
          </c:extLst>
        </c:ser>
        <c:ser>
          <c:idx val="1"/>
          <c:order val="1"/>
          <c:tx>
            <c:strRef>
              <c:f>mc_0!$J$1</c:f>
              <c:strCache>
                <c:ptCount val="1"/>
                <c:pt idx="0">
                  <c:v>ViterbiNet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mc_0!$H$2:$H$19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mc_0!$J$2:$J$19</c:f>
              <c:numCache>
                <c:formatCode>General</c:formatCode>
                <c:ptCount val="18"/>
                <c:pt idx="0">
                  <c:v>0.185222177505493</c:v>
                </c:pt>
                <c:pt idx="1">
                  <c:v>0.14888884862263899</c:v>
                </c:pt>
                <c:pt idx="2">
                  <c:v>0.125222181479136</c:v>
                </c:pt>
                <c:pt idx="3">
                  <c:v>9.9777736663818298E-2</c:v>
                </c:pt>
                <c:pt idx="4">
                  <c:v>7.9333287874857494E-2</c:v>
                </c:pt>
                <c:pt idx="5">
                  <c:v>5.6999956766764302E-2</c:v>
                </c:pt>
                <c:pt idx="6">
                  <c:v>3.7777737776438398E-2</c:v>
                </c:pt>
                <c:pt idx="7">
                  <c:v>2.3333295186360601E-2</c:v>
                </c:pt>
                <c:pt idx="8">
                  <c:v>1.2777752081553099E-2</c:v>
                </c:pt>
                <c:pt idx="9">
                  <c:v>6.6666452089945401E-3</c:v>
                </c:pt>
                <c:pt idx="10">
                  <c:v>2.11110194524129E-3</c:v>
                </c:pt>
                <c:pt idx="11">
                  <c:v>1.11110687255859E-3</c:v>
                </c:pt>
                <c:pt idx="12">
                  <c:v>5.5555264155069902E-4</c:v>
                </c:pt>
                <c:pt idx="13">
                  <c:v>1.11110210418701E-4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D6-4191-B77C-CE515D93A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191776"/>
        <c:axId val="1654190816"/>
      </c:lineChart>
      <c:catAx>
        <c:axId val="16541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190816"/>
        <c:crosses val="autoZero"/>
        <c:auto val="1"/>
        <c:lblAlgn val="ctr"/>
        <c:lblOffset val="100"/>
        <c:noMultiLvlLbl val="0"/>
      </c:catAx>
      <c:valAx>
        <c:axId val="16541908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1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Sheet3!$I$1</c:f>
              <c:strCache>
                <c:ptCount val="1"/>
                <c:pt idx="0">
                  <c:v>Transformer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Sheet3!$H$2:$H$18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Sheet3!$I$2:$I$18</c:f>
              <c:numCache>
                <c:formatCode>0.00E+00</c:formatCode>
                <c:ptCount val="17"/>
                <c:pt idx="0">
                  <c:v>0.18706654256757513</c:v>
                </c:pt>
                <c:pt idx="1">
                  <c:v>0.1640551053776455</c:v>
                </c:pt>
                <c:pt idx="2">
                  <c:v>0.14180796519506161</c:v>
                </c:pt>
                <c:pt idx="3">
                  <c:v>0.12018214926123566</c:v>
                </c:pt>
                <c:pt idx="4">
                  <c:v>9.9580431624370233E-2</c:v>
                </c:pt>
                <c:pt idx="5">
                  <c:v>7.9751181792394737E-2</c:v>
                </c:pt>
                <c:pt idx="6">
                  <c:v>6.2890071196883279E-2</c:v>
                </c:pt>
                <c:pt idx="7">
                  <c:v>3.4199719221568503E-2</c:v>
                </c:pt>
                <c:pt idx="8">
                  <c:v>2.2815332392267108E-2</c:v>
                </c:pt>
                <c:pt idx="9">
                  <c:v>1.2838218781877913E-2</c:v>
                </c:pt>
                <c:pt idx="10">
                  <c:v>6.460366792538582E-3</c:v>
                </c:pt>
                <c:pt idx="11">
                  <c:v>2.2321636611549369E-3</c:v>
                </c:pt>
                <c:pt idx="12">
                  <c:v>8.9220221066356128E-4</c:v>
                </c:pt>
                <c:pt idx="13">
                  <c:v>3.4853415702705917E-4</c:v>
                </c:pt>
                <c:pt idx="14">
                  <c:v>1.129073883170509E-4</c:v>
                </c:pt>
                <c:pt idx="15">
                  <c:v>6.7993191937308818E-5</c:v>
                </c:pt>
                <c:pt idx="16">
                  <c:v>3.1370840855498768E-5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7-495E-8521-2093876D74AF}"/>
            </c:ext>
          </c:extLst>
        </c:ser>
        <c:ser>
          <c:idx val="1"/>
          <c:order val="1"/>
          <c:tx>
            <c:strRef>
              <c:f>Sheet3!$J$1</c:f>
              <c:strCache>
                <c:ptCount val="1"/>
                <c:pt idx="0">
                  <c:v>ViterbiNet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Sheet3!$H$2:$H$18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Sheet3!$J$2:$J$18</c:f>
              <c:numCache>
                <c:formatCode>0.00E+00</c:formatCode>
                <c:ptCount val="17"/>
                <c:pt idx="0">
                  <c:v>0.18037577530332577</c:v>
                </c:pt>
                <c:pt idx="1">
                  <c:v>0.1572140110824618</c:v>
                </c:pt>
                <c:pt idx="2">
                  <c:v>0.13304571049470479</c:v>
                </c:pt>
                <c:pt idx="3">
                  <c:v>0.10972749034271467</c:v>
                </c:pt>
                <c:pt idx="4">
                  <c:v>8.6953387760064116E-2</c:v>
                </c:pt>
                <c:pt idx="5">
                  <c:v>6.6470136402868696E-2</c:v>
                </c:pt>
                <c:pt idx="6">
                  <c:v>4.8942769359724164E-2</c:v>
                </c:pt>
                <c:pt idx="7">
                  <c:v>2.4284690820118908E-2</c:v>
                </c:pt>
                <c:pt idx="8">
                  <c:v>1.5843112781351643E-2</c:v>
                </c:pt>
                <c:pt idx="9">
                  <c:v>1.0158478991658053E-2</c:v>
                </c:pt>
                <c:pt idx="10">
                  <c:v>6.1143677287241946E-3</c:v>
                </c:pt>
                <c:pt idx="11">
                  <c:v>2.1780570348103791E-3</c:v>
                </c:pt>
                <c:pt idx="12">
                  <c:v>1.0787669728644423E-3</c:v>
                </c:pt>
                <c:pt idx="13">
                  <c:v>4.3670343522408662E-4</c:v>
                </c:pt>
                <c:pt idx="14">
                  <c:v>1.5450451801072261E-4</c:v>
                </c:pt>
                <c:pt idx="15">
                  <c:v>4.7862991308554554E-5</c:v>
                </c:pt>
                <c:pt idx="16">
                  <c:v>3.2763348685370492E-5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A7-495E-8521-2093876D7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191776"/>
        <c:axId val="1654190816"/>
      </c:lineChart>
      <c:catAx>
        <c:axId val="16541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190816"/>
        <c:crosses val="autoZero"/>
        <c:auto val="1"/>
        <c:lblAlgn val="ctr"/>
        <c:lblOffset val="100"/>
        <c:noMultiLvlLbl val="0"/>
      </c:catAx>
      <c:valAx>
        <c:axId val="16541908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1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Sheet3!$H$25</c:f>
          <c:strCache>
            <c:ptCount val="1"/>
            <c:pt idx="0">
              <c:v>SNR13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Sheet3!$H$22</c:f>
              <c:strCache>
                <c:ptCount val="1"/>
                <c:pt idx="0">
                  <c:v>Transformer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Sheet3!$I$22:$BW$22</c:f>
              <c:numCache>
                <c:formatCode>General</c:formatCode>
                <c:ptCount val="67"/>
                <c:pt idx="0">
                  <c:v>1.0416630903879801E-3</c:v>
                </c:pt>
                <c:pt idx="1">
                  <c:v>1.2361071507136E-3</c:v>
                </c:pt>
                <c:pt idx="2">
                  <c:v>7.9166332880655898E-4</c:v>
                </c:pt>
                <c:pt idx="3">
                  <c:v>9.4444096088409403E-4</c:v>
                </c:pt>
                <c:pt idx="4">
                  <c:v>1.2222184737523301E-3</c:v>
                </c:pt>
                <c:pt idx="5">
                  <c:v>1.1111066738764401E-3</c:v>
                </c:pt>
                <c:pt idx="6">
                  <c:v>8.3332896232604897E-4</c:v>
                </c:pt>
                <c:pt idx="7">
                  <c:v>1.11110687255859E-3</c:v>
                </c:pt>
                <c:pt idx="8">
                  <c:v>8.0555299917856797E-4</c:v>
                </c:pt>
                <c:pt idx="9">
                  <c:v>1.0972181955973301E-3</c:v>
                </c:pt>
                <c:pt idx="10">
                  <c:v>1.26388470331827E-3</c:v>
                </c:pt>
                <c:pt idx="11">
                  <c:v>9.5832943916320803E-4</c:v>
                </c:pt>
                <c:pt idx="12">
                  <c:v>1.27777377764383E-3</c:v>
                </c:pt>
                <c:pt idx="13">
                  <c:v>6.5277496973673499E-4</c:v>
                </c:pt>
                <c:pt idx="14">
                  <c:v>7.2221954663594502E-4</c:v>
                </c:pt>
                <c:pt idx="15">
                  <c:v>1.1944401264190601E-3</c:v>
                </c:pt>
                <c:pt idx="16">
                  <c:v>4.5833110809326099E-4</c:v>
                </c:pt>
                <c:pt idx="17">
                  <c:v>8.1944167613983104E-4</c:v>
                </c:pt>
                <c:pt idx="18">
                  <c:v>5.6944171587626101E-4</c:v>
                </c:pt>
                <c:pt idx="19">
                  <c:v>8.6110790570576902E-4</c:v>
                </c:pt>
                <c:pt idx="20">
                  <c:v>6.2499761581420797E-4</c:v>
                </c:pt>
                <c:pt idx="21">
                  <c:v>6.8055252234140999E-4</c:v>
                </c:pt>
                <c:pt idx="22">
                  <c:v>8.05552800496419E-4</c:v>
                </c:pt>
                <c:pt idx="23">
                  <c:v>1.1111070712407399E-3</c:v>
                </c:pt>
                <c:pt idx="24">
                  <c:v>9.9999606609344491E-4</c:v>
                </c:pt>
                <c:pt idx="25">
                  <c:v>8.4721903006235698E-4</c:v>
                </c:pt>
                <c:pt idx="26">
                  <c:v>1.27777298291524E-3</c:v>
                </c:pt>
                <c:pt idx="27">
                  <c:v>1.1805506547291999E-3</c:v>
                </c:pt>
                <c:pt idx="28">
                  <c:v>4.0277600288391103E-4</c:v>
                </c:pt>
                <c:pt idx="29">
                  <c:v>5.8333118756612103E-4</c:v>
                </c:pt>
                <c:pt idx="30">
                  <c:v>9.1666221618652295E-4</c:v>
                </c:pt>
                <c:pt idx="31">
                  <c:v>9.0277393658955802E-4</c:v>
                </c:pt>
                <c:pt idx="32">
                  <c:v>1.26388370990753E-3</c:v>
                </c:pt>
                <c:pt idx="33">
                  <c:v>8.8888466358184805E-4</c:v>
                </c:pt>
                <c:pt idx="34">
                  <c:v>6.8055252234140999E-4</c:v>
                </c:pt>
                <c:pt idx="35">
                  <c:v>9.9999666213989192E-4</c:v>
                </c:pt>
                <c:pt idx="36">
                  <c:v>8.3333035310109401E-4</c:v>
                </c:pt>
                <c:pt idx="37">
                  <c:v>8.0555260181427004E-4</c:v>
                </c:pt>
                <c:pt idx="38">
                  <c:v>6.11108342806498E-4</c:v>
                </c:pt>
                <c:pt idx="39">
                  <c:v>1.02777342001597E-3</c:v>
                </c:pt>
                <c:pt idx="40">
                  <c:v>1.0555519660313899E-3</c:v>
                </c:pt>
                <c:pt idx="41">
                  <c:v>9.9999547004699704E-4</c:v>
                </c:pt>
                <c:pt idx="42">
                  <c:v>8.3333055178324298E-4</c:v>
                </c:pt>
                <c:pt idx="43">
                  <c:v>8.6110830307006803E-4</c:v>
                </c:pt>
                <c:pt idx="44">
                  <c:v>5.8333059151967305E-4</c:v>
                </c:pt>
                <c:pt idx="45">
                  <c:v>8.0555220444997102E-4</c:v>
                </c:pt>
                <c:pt idx="46">
                  <c:v>1.08332991600036E-3</c:v>
                </c:pt>
                <c:pt idx="47">
                  <c:v>1.0277738173802601E-3</c:v>
                </c:pt>
                <c:pt idx="48">
                  <c:v>8.8888585567474304E-4</c:v>
                </c:pt>
                <c:pt idx="49">
                  <c:v>1.1666617790857901E-3</c:v>
                </c:pt>
                <c:pt idx="50">
                  <c:v>1.0694400469462E-3</c:v>
                </c:pt>
                <c:pt idx="51">
                  <c:v>6.6666384538014703E-4</c:v>
                </c:pt>
                <c:pt idx="52">
                  <c:v>4.7222038110097199E-4</c:v>
                </c:pt>
                <c:pt idx="53">
                  <c:v>1.2222176790237401E-3</c:v>
                </c:pt>
                <c:pt idx="54">
                  <c:v>7.4999690055847096E-4</c:v>
                </c:pt>
                <c:pt idx="55">
                  <c:v>8.3333015441894504E-4</c:v>
                </c:pt>
                <c:pt idx="56">
                  <c:v>1.3194396098454701E-3</c:v>
                </c:pt>
                <c:pt idx="57">
                  <c:v>6.5277477105458504E-4</c:v>
                </c:pt>
                <c:pt idx="58">
                  <c:v>7.4999729792276997E-4</c:v>
                </c:pt>
                <c:pt idx="59">
                  <c:v>5.2777588367462097E-4</c:v>
                </c:pt>
                <c:pt idx="60">
                  <c:v>9.58329637845357E-4</c:v>
                </c:pt>
                <c:pt idx="61">
                  <c:v>7.9166372617085702E-4</c:v>
                </c:pt>
                <c:pt idx="62">
                  <c:v>9.861081838607789E-4</c:v>
                </c:pt>
                <c:pt idx="63">
                  <c:v>9.0277413527170797E-4</c:v>
                </c:pt>
                <c:pt idx="64">
                  <c:v>8.6110750834147098E-4</c:v>
                </c:pt>
                <c:pt idx="65">
                  <c:v>8.6110810438791896E-4</c:v>
                </c:pt>
                <c:pt idx="66">
                  <c:v>4.30553754170735E-4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7-4736-B891-C74014D8ABCC}"/>
            </c:ext>
          </c:extLst>
        </c:ser>
        <c:ser>
          <c:idx val="1"/>
          <c:order val="1"/>
          <c:tx>
            <c:strRef>
              <c:f>Sheet3!$H$23</c:f>
              <c:strCache>
                <c:ptCount val="1"/>
                <c:pt idx="0">
                  <c:v>ViterbiNet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Sheet3!$I$23:$BW$23</c:f>
              <c:numCache>
                <c:formatCode>General</c:formatCode>
                <c:ptCount val="67"/>
                <c:pt idx="0">
                  <c:v>1.16666038831075E-3</c:v>
                </c:pt>
                <c:pt idx="1">
                  <c:v>1.6249912977218601E-3</c:v>
                </c:pt>
                <c:pt idx="2">
                  <c:v>8.1944008668263704E-4</c:v>
                </c:pt>
                <c:pt idx="3">
                  <c:v>1.26388152440389E-3</c:v>
                </c:pt>
                <c:pt idx="4">
                  <c:v>6.6666344801584801E-4</c:v>
                </c:pt>
                <c:pt idx="5">
                  <c:v>1.26388152440389E-3</c:v>
                </c:pt>
                <c:pt idx="6">
                  <c:v>7.6388478279113697E-4</c:v>
                </c:pt>
                <c:pt idx="7">
                  <c:v>1.0555495818455999E-3</c:v>
                </c:pt>
                <c:pt idx="8">
                  <c:v>7.9166193803151404E-4</c:v>
                </c:pt>
                <c:pt idx="9">
                  <c:v>1.4166597525278699E-3</c:v>
                </c:pt>
                <c:pt idx="10">
                  <c:v>1.90276662508646E-3</c:v>
                </c:pt>
                <c:pt idx="11">
                  <c:v>1.3194370269775299E-3</c:v>
                </c:pt>
                <c:pt idx="12">
                  <c:v>9.7221672534942595E-4</c:v>
                </c:pt>
                <c:pt idx="13">
                  <c:v>1.4444357156753499E-3</c:v>
                </c:pt>
                <c:pt idx="14">
                  <c:v>1.18054966131846E-3</c:v>
                </c:pt>
                <c:pt idx="15">
                  <c:v>1.08332773049672E-3</c:v>
                </c:pt>
                <c:pt idx="16">
                  <c:v>1.70832435290018E-3</c:v>
                </c:pt>
                <c:pt idx="17">
                  <c:v>8.8888386885325099E-4</c:v>
                </c:pt>
                <c:pt idx="18">
                  <c:v>1.2083270152409801E-3</c:v>
                </c:pt>
                <c:pt idx="19">
                  <c:v>8.0555101235707603E-4</c:v>
                </c:pt>
                <c:pt idx="20">
                  <c:v>6.3888529936472502E-4</c:v>
                </c:pt>
                <c:pt idx="21">
                  <c:v>1.12499356269836E-3</c:v>
                </c:pt>
                <c:pt idx="22">
                  <c:v>1.19443813959757E-3</c:v>
                </c:pt>
                <c:pt idx="23">
                  <c:v>9.5832804838816299E-4</c:v>
                </c:pt>
                <c:pt idx="24">
                  <c:v>1.5694365898768099E-3</c:v>
                </c:pt>
                <c:pt idx="25">
                  <c:v>1.0138843456904E-3</c:v>
                </c:pt>
                <c:pt idx="26">
                  <c:v>8.0555140972137396E-4</c:v>
                </c:pt>
                <c:pt idx="27">
                  <c:v>1.0277716318766201E-3</c:v>
                </c:pt>
                <c:pt idx="28">
                  <c:v>1.2638827164967799E-3</c:v>
                </c:pt>
                <c:pt idx="29">
                  <c:v>6.9444060325622497E-4</c:v>
                </c:pt>
                <c:pt idx="30">
                  <c:v>7.9166213671366301E-4</c:v>
                </c:pt>
                <c:pt idx="31">
                  <c:v>1.0972166061401301E-3</c:v>
                </c:pt>
                <c:pt idx="32">
                  <c:v>2.2638785839080799E-3</c:v>
                </c:pt>
                <c:pt idx="33">
                  <c:v>8.8888406753539996E-4</c:v>
                </c:pt>
                <c:pt idx="34">
                  <c:v>1.16666058699289E-3</c:v>
                </c:pt>
                <c:pt idx="35">
                  <c:v>1.4027692874272601E-3</c:v>
                </c:pt>
                <c:pt idx="36">
                  <c:v>9.9999447663624993E-4</c:v>
                </c:pt>
                <c:pt idx="37">
                  <c:v>9.861059983571369E-4</c:v>
                </c:pt>
                <c:pt idx="38">
                  <c:v>5.9721926848093601E-4</c:v>
                </c:pt>
                <c:pt idx="39">
                  <c:v>1.05554938316345E-3</c:v>
                </c:pt>
                <c:pt idx="40">
                  <c:v>9.8610520362853995E-4</c:v>
                </c:pt>
                <c:pt idx="41">
                  <c:v>9.7221752007802301E-4</c:v>
                </c:pt>
                <c:pt idx="42">
                  <c:v>9.3055029710133804E-4</c:v>
                </c:pt>
                <c:pt idx="43">
                  <c:v>1.6666581233342401E-3</c:v>
                </c:pt>
                <c:pt idx="44">
                  <c:v>9.1666122277577703E-4</c:v>
                </c:pt>
                <c:pt idx="45">
                  <c:v>5.6944131851196199E-4</c:v>
                </c:pt>
                <c:pt idx="46">
                  <c:v>6.8055172761281304E-4</c:v>
                </c:pt>
                <c:pt idx="47">
                  <c:v>1.12499356269836E-3</c:v>
                </c:pt>
                <c:pt idx="48">
                  <c:v>8.8888406753539996E-4</c:v>
                </c:pt>
                <c:pt idx="49">
                  <c:v>1.4583257834116601E-3</c:v>
                </c:pt>
                <c:pt idx="50">
                  <c:v>9.7221712271372399E-4</c:v>
                </c:pt>
                <c:pt idx="51">
                  <c:v>9.7221712271372399E-4</c:v>
                </c:pt>
                <c:pt idx="52">
                  <c:v>1.0694390535354601E-3</c:v>
                </c:pt>
                <c:pt idx="53">
                  <c:v>1.8472135066986001E-3</c:v>
                </c:pt>
                <c:pt idx="54">
                  <c:v>8.1943949063618905E-4</c:v>
                </c:pt>
                <c:pt idx="55">
                  <c:v>9.7221652666727699E-4</c:v>
                </c:pt>
                <c:pt idx="56">
                  <c:v>7.77773062388102E-4</c:v>
                </c:pt>
                <c:pt idx="57">
                  <c:v>9.44438974062601E-4</c:v>
                </c:pt>
                <c:pt idx="58">
                  <c:v>9.8610579967498696E-4</c:v>
                </c:pt>
                <c:pt idx="59">
                  <c:v>1.24999245007832E-3</c:v>
                </c:pt>
                <c:pt idx="60">
                  <c:v>1.09721620877583E-3</c:v>
                </c:pt>
                <c:pt idx="61">
                  <c:v>7.2221815586089998E-4</c:v>
                </c:pt>
                <c:pt idx="62">
                  <c:v>9.4443937142690002E-4</c:v>
                </c:pt>
                <c:pt idx="63">
                  <c:v>1.4583265781402501E-3</c:v>
                </c:pt>
                <c:pt idx="64">
                  <c:v>1.0555495818455999E-3</c:v>
                </c:pt>
                <c:pt idx="65">
                  <c:v>7.4999610582987401E-4</c:v>
                </c:pt>
                <c:pt idx="66">
                  <c:v>5.5555244286854995E-4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E7-4736-B891-C74014D8A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571840"/>
        <c:axId val="1272572320"/>
      </c:lineChart>
      <c:catAx>
        <c:axId val="127257184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572320"/>
        <c:crosses val="autoZero"/>
        <c:auto val="1"/>
        <c:lblAlgn val="ctr"/>
        <c:lblOffset val="100"/>
        <c:noMultiLvlLbl val="0"/>
      </c:catAx>
      <c:valAx>
        <c:axId val="1272572320"/>
        <c:scaling>
          <c:logBase val="10"/>
          <c:orientation val="minMax"/>
          <c:max val="3.0000000000000009E-3"/>
          <c:min val="3.0000000000000008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Sheet3!$H$46</c:f>
          <c:strCache>
            <c:ptCount val="1"/>
            <c:pt idx="0">
              <c:v>SNR14</c:v>
            </c:pt>
          </c:strCache>
        </c:strRef>
      </c:tx>
      <c:layout>
        <c:manualLayout>
          <c:xMode val="edge"/>
          <c:yMode val="edge"/>
          <c:x val="0.4385415573053368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Sheet3!$H$22</c:f>
              <c:strCache>
                <c:ptCount val="1"/>
                <c:pt idx="0">
                  <c:v>Transformer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Sheet3!$I$43:$BW$43</c:f>
              <c:numCache>
                <c:formatCode>General</c:formatCode>
                <c:ptCount val="67"/>
                <c:pt idx="0">
                  <c:v>3.2407343387603701E-4</c:v>
                </c:pt>
                <c:pt idx="1">
                  <c:v>3.3333241939544598E-4</c:v>
                </c:pt>
                <c:pt idx="2">
                  <c:v>4.1666587193806898E-4</c:v>
                </c:pt>
                <c:pt idx="3">
                  <c:v>4.1666587193806898E-4</c:v>
                </c:pt>
                <c:pt idx="4">
                  <c:v>3.6110997200012202E-4</c:v>
                </c:pt>
                <c:pt idx="5">
                  <c:v>4.16665474573771E-4</c:v>
                </c:pt>
                <c:pt idx="6">
                  <c:v>3.3333241939544598E-4</c:v>
                </c:pt>
                <c:pt idx="7">
                  <c:v>3.5185118516286202E-4</c:v>
                </c:pt>
                <c:pt idx="8">
                  <c:v>3.2407303651173902E-4</c:v>
                </c:pt>
                <c:pt idx="9">
                  <c:v>2.03702847162882E-4</c:v>
                </c:pt>
                <c:pt idx="10">
                  <c:v>3.6110997200012202E-4</c:v>
                </c:pt>
                <c:pt idx="11">
                  <c:v>5.5555423100789303E-4</c:v>
                </c:pt>
                <c:pt idx="12">
                  <c:v>2.22221414248148E-4</c:v>
                </c:pt>
                <c:pt idx="13">
                  <c:v>3.79628539085388E-4</c:v>
                </c:pt>
                <c:pt idx="14">
                  <c:v>3.4259180227915403E-4</c:v>
                </c:pt>
                <c:pt idx="15">
                  <c:v>2.5925834973653103E-4</c:v>
                </c:pt>
                <c:pt idx="16">
                  <c:v>2.8703649838765402E-4</c:v>
                </c:pt>
                <c:pt idx="17">
                  <c:v>3.98147304852803E-4</c:v>
                </c:pt>
                <c:pt idx="18">
                  <c:v>4.8148016134897802E-4</c:v>
                </c:pt>
                <c:pt idx="19">
                  <c:v>4.3518384297688801E-4</c:v>
                </c:pt>
                <c:pt idx="20">
                  <c:v>3.8888752460479697E-4</c:v>
                </c:pt>
                <c:pt idx="21">
                  <c:v>5.8333178361256901E-4</c:v>
                </c:pt>
                <c:pt idx="22">
                  <c:v>4.07406489054361E-4</c:v>
                </c:pt>
                <c:pt idx="23">
                  <c:v>2.6851753393808999E-4</c:v>
                </c:pt>
                <c:pt idx="24">
                  <c:v>4.4444362322489399E-4</c:v>
                </c:pt>
                <c:pt idx="25">
                  <c:v>4.6296179294586101E-4</c:v>
                </c:pt>
                <c:pt idx="26">
                  <c:v>2.5925854841867999E-4</c:v>
                </c:pt>
                <c:pt idx="27">
                  <c:v>4.62961991628011E-4</c:v>
                </c:pt>
                <c:pt idx="28">
                  <c:v>1.94443662961324E-4</c:v>
                </c:pt>
                <c:pt idx="29">
                  <c:v>2.5925834973653103E-4</c:v>
                </c:pt>
                <c:pt idx="30">
                  <c:v>1.94443861643473E-4</c:v>
                </c:pt>
                <c:pt idx="31">
                  <c:v>3.4259180227915403E-4</c:v>
                </c:pt>
                <c:pt idx="32">
                  <c:v>4.16665275891621E-4</c:v>
                </c:pt>
                <c:pt idx="33">
                  <c:v>3.0555446942647299E-4</c:v>
                </c:pt>
                <c:pt idx="34">
                  <c:v>3.0555446942647299E-4</c:v>
                </c:pt>
                <c:pt idx="35">
                  <c:v>2.49999364217122E-4</c:v>
                </c:pt>
                <c:pt idx="36">
                  <c:v>2.7777671813964799E-4</c:v>
                </c:pt>
                <c:pt idx="37">
                  <c:v>2.22221612930297E-4</c:v>
                </c:pt>
                <c:pt idx="38">
                  <c:v>2.8703590234120598E-4</c:v>
                </c:pt>
                <c:pt idx="39">
                  <c:v>4.0740668773651099E-4</c:v>
                </c:pt>
                <c:pt idx="40">
                  <c:v>5.5555423100789303E-4</c:v>
                </c:pt>
                <c:pt idx="41">
                  <c:v>1.29628976186116E-4</c:v>
                </c:pt>
                <c:pt idx="42">
                  <c:v>3.51850787798563E-4</c:v>
                </c:pt>
                <c:pt idx="43">
                  <c:v>3.9814710617065398E-4</c:v>
                </c:pt>
                <c:pt idx="44">
                  <c:v>3.5185098648071202E-4</c:v>
                </c:pt>
                <c:pt idx="45">
                  <c:v>1.8518447875976501E-4</c:v>
                </c:pt>
                <c:pt idx="46">
                  <c:v>3.8888812065124501E-4</c:v>
                </c:pt>
                <c:pt idx="47">
                  <c:v>4.5370260874430301E-4</c:v>
                </c:pt>
                <c:pt idx="48">
                  <c:v>5.8333138624827E-4</c:v>
                </c:pt>
                <c:pt idx="49">
                  <c:v>3.3333222071329702E-4</c:v>
                </c:pt>
                <c:pt idx="50">
                  <c:v>4.0740668773651099E-4</c:v>
                </c:pt>
                <c:pt idx="51">
                  <c:v>2.0370304584503099E-4</c:v>
                </c:pt>
                <c:pt idx="52">
                  <c:v>3.7036895751953099E-4</c:v>
                </c:pt>
                <c:pt idx="53">
                  <c:v>4.0740609169006301E-4</c:v>
                </c:pt>
                <c:pt idx="54">
                  <c:v>4.35184240341186E-4</c:v>
                </c:pt>
                <c:pt idx="55">
                  <c:v>2.03702847162882E-4</c:v>
                </c:pt>
                <c:pt idx="56">
                  <c:v>3.6111017068227099E-4</c:v>
                </c:pt>
                <c:pt idx="57">
                  <c:v>2.12962428728739E-4</c:v>
                </c:pt>
                <c:pt idx="58">
                  <c:v>3.33332816759745E-4</c:v>
                </c:pt>
                <c:pt idx="59">
                  <c:v>2.8703649838765402E-4</c:v>
                </c:pt>
                <c:pt idx="60">
                  <c:v>2.8703649838765402E-4</c:v>
                </c:pt>
                <c:pt idx="61">
                  <c:v>2.2222121556599901E-4</c:v>
                </c:pt>
                <c:pt idx="62">
                  <c:v>3.6111056804656897E-4</c:v>
                </c:pt>
                <c:pt idx="63">
                  <c:v>3.4259140491485501E-4</c:v>
                </c:pt>
                <c:pt idx="64">
                  <c:v>3.5185098648071202E-4</c:v>
                </c:pt>
                <c:pt idx="65">
                  <c:v>5.1851749420165998E-4</c:v>
                </c:pt>
                <c:pt idx="66">
                  <c:v>3.7036955356597898E-4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4-41F2-B9D0-980EF088DA5D}"/>
            </c:ext>
          </c:extLst>
        </c:ser>
        <c:ser>
          <c:idx val="1"/>
          <c:order val="1"/>
          <c:tx>
            <c:strRef>
              <c:f>Sheet3!$H$44</c:f>
              <c:strCache>
                <c:ptCount val="1"/>
                <c:pt idx="0">
                  <c:v>ViterbiNet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Sheet3!$I$44:$BW$44</c:f>
              <c:numCache>
                <c:formatCode>General</c:formatCode>
                <c:ptCount val="67"/>
                <c:pt idx="0">
                  <c:v>4.7222018241882302E-4</c:v>
                </c:pt>
                <c:pt idx="1">
                  <c:v>5.0925751527150401E-4</c:v>
                </c:pt>
                <c:pt idx="2">
                  <c:v>3.1481345494588202E-4</c:v>
                </c:pt>
                <c:pt idx="3">
                  <c:v>6.2036772569020501E-4</c:v>
                </c:pt>
                <c:pt idx="4">
                  <c:v>4.07405296961466E-4</c:v>
                </c:pt>
                <c:pt idx="5">
                  <c:v>3.8888692855834899E-4</c:v>
                </c:pt>
                <c:pt idx="6">
                  <c:v>6.29627108573913E-4</c:v>
                </c:pt>
                <c:pt idx="7">
                  <c:v>4.1666487852732301E-4</c:v>
                </c:pt>
                <c:pt idx="8">
                  <c:v>5.6481242179870603E-4</c:v>
                </c:pt>
                <c:pt idx="9">
                  <c:v>3.3333162466684898E-4</c:v>
                </c:pt>
                <c:pt idx="10">
                  <c:v>4.3518284956614101E-4</c:v>
                </c:pt>
                <c:pt idx="11">
                  <c:v>5.9259057044982902E-4</c:v>
                </c:pt>
                <c:pt idx="12">
                  <c:v>3.14813057581583E-4</c:v>
                </c:pt>
                <c:pt idx="13">
                  <c:v>5.4629405339558896E-4</c:v>
                </c:pt>
                <c:pt idx="14">
                  <c:v>6.11108342806498E-4</c:v>
                </c:pt>
                <c:pt idx="15">
                  <c:v>5.6481202443440701E-4</c:v>
                </c:pt>
                <c:pt idx="16">
                  <c:v>4.0740569432576399E-4</c:v>
                </c:pt>
                <c:pt idx="17">
                  <c:v>2.7777632077534902E-4</c:v>
                </c:pt>
                <c:pt idx="18">
                  <c:v>6.2036792437235495E-4</c:v>
                </c:pt>
                <c:pt idx="19">
                  <c:v>4.0740569432576399E-4</c:v>
                </c:pt>
                <c:pt idx="20">
                  <c:v>3.3333122730255099E-4</c:v>
                </c:pt>
                <c:pt idx="21">
                  <c:v>4.9073835213978999E-4</c:v>
                </c:pt>
                <c:pt idx="22">
                  <c:v>7.0370117823282795E-4</c:v>
                </c:pt>
                <c:pt idx="23">
                  <c:v>3.0555446942647299E-4</c:v>
                </c:pt>
                <c:pt idx="24">
                  <c:v>5.2777588367462097E-4</c:v>
                </c:pt>
                <c:pt idx="25">
                  <c:v>3.9814611275990801E-4</c:v>
                </c:pt>
                <c:pt idx="26">
                  <c:v>3.8888732592264801E-4</c:v>
                </c:pt>
                <c:pt idx="27">
                  <c:v>3.5184999306996599E-4</c:v>
                </c:pt>
                <c:pt idx="28">
                  <c:v>7.4073771635691302E-4</c:v>
                </c:pt>
                <c:pt idx="29">
                  <c:v>2.7777632077534902E-4</c:v>
                </c:pt>
                <c:pt idx="30">
                  <c:v>2.40739583969116E-4</c:v>
                </c:pt>
                <c:pt idx="31">
                  <c:v>3.9814631144205698E-4</c:v>
                </c:pt>
                <c:pt idx="32">
                  <c:v>6.0184975465138696E-4</c:v>
                </c:pt>
                <c:pt idx="33">
                  <c:v>4.4444262981414699E-4</c:v>
                </c:pt>
                <c:pt idx="34">
                  <c:v>5.09256919225057E-4</c:v>
                </c:pt>
                <c:pt idx="35">
                  <c:v>3.5184959570566801E-4</c:v>
                </c:pt>
                <c:pt idx="36">
                  <c:v>2.2222101688384999E-4</c:v>
                </c:pt>
                <c:pt idx="37">
                  <c:v>3.8888732592264801E-4</c:v>
                </c:pt>
                <c:pt idx="38">
                  <c:v>4.5370181401570601E-4</c:v>
                </c:pt>
                <c:pt idx="39">
                  <c:v>4.0740549564361502E-4</c:v>
                </c:pt>
                <c:pt idx="40">
                  <c:v>2.9629488786061598E-4</c:v>
                </c:pt>
                <c:pt idx="41">
                  <c:v>6.6666384538014703E-4</c:v>
                </c:pt>
                <c:pt idx="42">
                  <c:v>2.3148020108540801E-4</c:v>
                </c:pt>
                <c:pt idx="43">
                  <c:v>6.0184915860493897E-4</c:v>
                </c:pt>
                <c:pt idx="44">
                  <c:v>2.03702648480733E-4</c:v>
                </c:pt>
                <c:pt idx="45">
                  <c:v>6.0184935728708902E-4</c:v>
                </c:pt>
                <c:pt idx="46">
                  <c:v>2.4073978265126499E-4</c:v>
                </c:pt>
                <c:pt idx="47">
                  <c:v>5.2777588367462097E-4</c:v>
                </c:pt>
                <c:pt idx="48">
                  <c:v>2.7777671813964799E-4</c:v>
                </c:pt>
                <c:pt idx="49">
                  <c:v>6.7592322826385502E-4</c:v>
                </c:pt>
                <c:pt idx="50">
                  <c:v>3.9814631144205698E-4</c:v>
                </c:pt>
                <c:pt idx="51">
                  <c:v>3.8888732592264801E-4</c:v>
                </c:pt>
                <c:pt idx="52">
                  <c:v>2.5925815105438201E-4</c:v>
                </c:pt>
                <c:pt idx="53">
                  <c:v>2.7777651945749902E-4</c:v>
                </c:pt>
                <c:pt idx="54">
                  <c:v>6.94441596666971E-4</c:v>
                </c:pt>
                <c:pt idx="55">
                  <c:v>3.79627744356791E-4</c:v>
                </c:pt>
                <c:pt idx="56">
                  <c:v>3.5185019175211501E-4</c:v>
                </c:pt>
                <c:pt idx="57">
                  <c:v>3.5184999306996599E-4</c:v>
                </c:pt>
                <c:pt idx="58">
                  <c:v>5.3703526655832895E-4</c:v>
                </c:pt>
                <c:pt idx="59">
                  <c:v>3.5184979438781697E-4</c:v>
                </c:pt>
                <c:pt idx="60">
                  <c:v>3.0555387338002501E-4</c:v>
                </c:pt>
                <c:pt idx="61">
                  <c:v>6.0184915860493897E-4</c:v>
                </c:pt>
                <c:pt idx="62">
                  <c:v>4.0740569432576399E-4</c:v>
                </c:pt>
                <c:pt idx="63">
                  <c:v>3.5185019175211501E-4</c:v>
                </c:pt>
                <c:pt idx="64">
                  <c:v>3.9814670880635502E-4</c:v>
                </c:pt>
                <c:pt idx="65">
                  <c:v>4.8147896925608297E-4</c:v>
                </c:pt>
                <c:pt idx="66">
                  <c:v>4.25924261411031E-4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44-41F2-B9D0-980EF088D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571840"/>
        <c:axId val="1272572320"/>
      </c:lineChart>
      <c:catAx>
        <c:axId val="127257184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572320"/>
        <c:crosses val="autoZero"/>
        <c:auto val="1"/>
        <c:lblAlgn val="ctr"/>
        <c:lblOffset val="100"/>
        <c:noMultiLvlLbl val="0"/>
      </c:catAx>
      <c:valAx>
        <c:axId val="1272572320"/>
        <c:scaling>
          <c:logBase val="10"/>
          <c:orientation val="minMax"/>
          <c:max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Sheet2!$H$29</c:f>
          <c:strCache>
            <c:ptCount val="1"/>
            <c:pt idx="0">
              <c:v>Transformer Vs Viterbi SNR=15dB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Sheet2!$H$11</c:f>
              <c:strCache>
                <c:ptCount val="1"/>
                <c:pt idx="0">
                  <c:v>Transformer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Sheet2!$I$11:$BA$11</c:f>
              <c:numCache>
                <c:formatCode>General</c:formatCode>
                <c:ptCount val="45"/>
                <c:pt idx="0">
                  <c:v>1.26542912589179E-4</c:v>
                </c:pt>
                <c:pt idx="1">
                  <c:v>9.2592371834648897E-5</c:v>
                </c:pt>
                <c:pt idx="2">
                  <c:v>1.9753025637732601E-4</c:v>
                </c:pt>
                <c:pt idx="3">
                  <c:v>7.4073804749382794E-5</c:v>
                </c:pt>
                <c:pt idx="4">
                  <c:v>8.0246792899237699E-5</c:v>
                </c:pt>
                <c:pt idx="5">
                  <c:v>7.0987476242913097E-5</c:v>
                </c:pt>
                <c:pt idx="6">
                  <c:v>6.4814620547824396E-5</c:v>
                </c:pt>
                <c:pt idx="7">
                  <c:v>3.3950474527146999E-5</c:v>
                </c:pt>
                <c:pt idx="8">
                  <c:v>8.0246792899237699E-5</c:v>
                </c:pt>
                <c:pt idx="9">
                  <c:v>7.7160265710618696E-5</c:v>
                </c:pt>
                <c:pt idx="10">
                  <c:v>4.01233302222357E-5</c:v>
                </c:pt>
                <c:pt idx="11">
                  <c:v>1.17283529705471E-4</c:v>
                </c:pt>
                <c:pt idx="12">
                  <c:v>4.32097249560885E-5</c:v>
                </c:pt>
                <c:pt idx="13">
                  <c:v>2.4074011378818E-4</c:v>
                </c:pt>
                <c:pt idx="14">
                  <c:v>7.0987476242913097E-5</c:v>
                </c:pt>
                <c:pt idx="15">
                  <c:v>1.01851556036207E-4</c:v>
                </c:pt>
                <c:pt idx="16">
                  <c:v>5.8641831080118803E-5</c:v>
                </c:pt>
                <c:pt idx="17">
                  <c:v>6.7900949054294093E-5</c:v>
                </c:pt>
                <c:pt idx="18">
                  <c:v>8.3333121405707397E-5</c:v>
                </c:pt>
                <c:pt idx="19">
                  <c:v>1.0493801699744299E-4</c:v>
                </c:pt>
                <c:pt idx="20">
                  <c:v>7.0987542470296198E-5</c:v>
                </c:pt>
                <c:pt idx="21">
                  <c:v>8.9505977100796098E-5</c:v>
                </c:pt>
                <c:pt idx="22">
                  <c:v>1.2037012312147301E-4</c:v>
                </c:pt>
                <c:pt idx="23">
                  <c:v>1.3580216301812E-4</c:v>
                </c:pt>
                <c:pt idx="24">
                  <c:v>7.4073804749382794E-5</c:v>
                </c:pt>
                <c:pt idx="25">
                  <c:v>5.2469041612413197E-5</c:v>
                </c:pt>
                <c:pt idx="26">
                  <c:v>5.2468909157647E-5</c:v>
                </c:pt>
                <c:pt idx="27">
                  <c:v>1.0802427927652899E-4</c:v>
                </c:pt>
                <c:pt idx="28">
                  <c:v>4.01233302222357E-5</c:v>
                </c:pt>
                <c:pt idx="29">
                  <c:v>1.4506134721967899E-4</c:v>
                </c:pt>
                <c:pt idx="30">
                  <c:v>9.5678634113735602E-5</c:v>
                </c:pt>
                <c:pt idx="31">
                  <c:v>5.8641831080118803E-5</c:v>
                </c:pt>
                <c:pt idx="32">
                  <c:v>1.9135733445485399E-4</c:v>
                </c:pt>
                <c:pt idx="33">
                  <c:v>4.3209791183471602E-5</c:v>
                </c:pt>
                <c:pt idx="34">
                  <c:v>6.1728292041354698E-5</c:v>
                </c:pt>
                <c:pt idx="35">
                  <c:v>7.0987410015529995E-5</c:v>
                </c:pt>
                <c:pt idx="36">
                  <c:v>5.5555370118882902E-5</c:v>
                </c:pt>
                <c:pt idx="37">
                  <c:v>7.0987410015529995E-5</c:v>
                </c:pt>
                <c:pt idx="38">
                  <c:v>1.66666176584031E-4</c:v>
                </c:pt>
                <c:pt idx="39">
                  <c:v>1.17283662160237E-4</c:v>
                </c:pt>
                <c:pt idx="40">
                  <c:v>6.7900949054294093E-5</c:v>
                </c:pt>
                <c:pt idx="41">
                  <c:v>7.0987476242913097E-5</c:v>
                </c:pt>
                <c:pt idx="42">
                  <c:v>1.2962930732303101E-4</c:v>
                </c:pt>
                <c:pt idx="43">
                  <c:v>1.04938083224826E-4</c:v>
                </c:pt>
                <c:pt idx="44">
                  <c:v>4.01232639948527E-5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2-45FC-AE0A-836AA61DDC10}"/>
            </c:ext>
          </c:extLst>
        </c:ser>
        <c:ser>
          <c:idx val="1"/>
          <c:order val="1"/>
          <c:tx>
            <c:strRef>
              <c:f>Sheet2!$H$12</c:f>
              <c:strCache>
                <c:ptCount val="1"/>
                <c:pt idx="0">
                  <c:v>ViterbiNet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Sheet2!$I$12:$BA$12</c:f>
              <c:numCache>
                <c:formatCode>General</c:formatCode>
                <c:ptCount val="45"/>
                <c:pt idx="0">
                  <c:v>1.2654258145226299E-4</c:v>
                </c:pt>
                <c:pt idx="1">
                  <c:v>1.6666577921973301E-4</c:v>
                </c:pt>
                <c:pt idx="2">
                  <c:v>2.00616386201646E-4</c:v>
                </c:pt>
                <c:pt idx="3">
                  <c:v>8.9505712191263799E-5</c:v>
                </c:pt>
                <c:pt idx="4">
                  <c:v>1.29629174868265E-4</c:v>
                </c:pt>
                <c:pt idx="5">
                  <c:v>1.0493788454267699E-4</c:v>
                </c:pt>
                <c:pt idx="6">
                  <c:v>8.9505844646030003E-5</c:v>
                </c:pt>
                <c:pt idx="7">
                  <c:v>8.6419383684794101E-5</c:v>
                </c:pt>
                <c:pt idx="8">
                  <c:v>1.01851423581441E-4</c:v>
                </c:pt>
                <c:pt idx="9">
                  <c:v>1.2654278013441201E-4</c:v>
                </c:pt>
                <c:pt idx="10">
                  <c:v>1.17283463478088E-4</c:v>
                </c:pt>
                <c:pt idx="11">
                  <c:v>2.9012236330244197E-4</c:v>
                </c:pt>
                <c:pt idx="12">
                  <c:v>1.3271550337473501E-4</c:v>
                </c:pt>
                <c:pt idx="13">
                  <c:v>3.3024569352467801E-4</c:v>
                </c:pt>
                <c:pt idx="14">
                  <c:v>2.7469012472364598E-4</c:v>
                </c:pt>
                <c:pt idx="15">
                  <c:v>1.0802427927652899E-4</c:v>
                </c:pt>
                <c:pt idx="16">
                  <c:v>2.65431072976854E-4</c:v>
                </c:pt>
                <c:pt idx="17">
                  <c:v>2.03702847162882E-4</c:v>
                </c:pt>
                <c:pt idx="18">
                  <c:v>1.17283397250705E-4</c:v>
                </c:pt>
                <c:pt idx="19">
                  <c:v>1.3271550337473501E-4</c:v>
                </c:pt>
                <c:pt idx="20">
                  <c:v>7.4073672294616699E-5</c:v>
                </c:pt>
                <c:pt idx="21">
                  <c:v>1.8827080726623499E-4</c:v>
                </c:pt>
                <c:pt idx="22">
                  <c:v>3.6728236410352898E-4</c:v>
                </c:pt>
                <c:pt idx="23">
                  <c:v>9.2592106925116599E-5</c:v>
                </c:pt>
                <c:pt idx="24">
                  <c:v>9.56785678863525E-5</c:v>
                </c:pt>
                <c:pt idx="25">
                  <c:v>6.4814554320441294E-5</c:v>
                </c:pt>
                <c:pt idx="26">
                  <c:v>1.01851423581441E-4</c:v>
                </c:pt>
                <c:pt idx="27">
                  <c:v>1.17283331023322E-4</c:v>
                </c:pt>
                <c:pt idx="28">
                  <c:v>1.8827074103885201E-4</c:v>
                </c:pt>
                <c:pt idx="29">
                  <c:v>1.72838899824354E-4</c:v>
                </c:pt>
                <c:pt idx="30">
                  <c:v>1.17283397250705E-4</c:v>
                </c:pt>
                <c:pt idx="31">
                  <c:v>1.5432026651170501E-4</c:v>
                </c:pt>
                <c:pt idx="32">
                  <c:v>8.3332988950941302E-5</c:v>
                </c:pt>
                <c:pt idx="33">
                  <c:v>1.01851489808824E-4</c:v>
                </c:pt>
                <c:pt idx="34">
                  <c:v>1.63579450713263E-4</c:v>
                </c:pt>
                <c:pt idx="35">
                  <c:v>2.6234467824300101E-4</c:v>
                </c:pt>
                <c:pt idx="36">
                  <c:v>7.7160199483235594E-5</c:v>
                </c:pt>
                <c:pt idx="37">
                  <c:v>8.0246594217088394E-5</c:v>
                </c:pt>
                <c:pt idx="38">
                  <c:v>1.08024345503913E-4</c:v>
                </c:pt>
                <c:pt idx="39">
                  <c:v>9.8765028847588401E-5</c:v>
                </c:pt>
                <c:pt idx="40">
                  <c:v>1.01851423581441E-4</c:v>
                </c:pt>
                <c:pt idx="41">
                  <c:v>1.5740659501817399E-4</c:v>
                </c:pt>
                <c:pt idx="42">
                  <c:v>9.5678501658969398E-5</c:v>
                </c:pt>
                <c:pt idx="43">
                  <c:v>8.6419317457410999E-5</c:v>
                </c:pt>
                <c:pt idx="44">
                  <c:v>8.0246395534939197E-5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2-45FC-AE0A-836AA61DDC10}"/>
            </c:ext>
          </c:extLst>
        </c:ser>
        <c:ser>
          <c:idx val="2"/>
          <c:order val="2"/>
          <c:tx>
            <c:strRef>
              <c:f>Sheet2!$H$13</c:f>
              <c:strCache>
                <c:ptCount val="1"/>
                <c:pt idx="0">
                  <c:v>Transformer(average)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Sheet2!$I$13:$BA$13</c:f>
              <c:numCache>
                <c:formatCode>0.00E+00</c:formatCode>
                <c:ptCount val="45"/>
                <c:pt idx="0">
                  <c:v>9.0260376164942382E-5</c:v>
                </c:pt>
                <c:pt idx="1">
                  <c:v>9.0260376164942382E-5</c:v>
                </c:pt>
                <c:pt idx="2">
                  <c:v>9.0260376164942382E-5</c:v>
                </c:pt>
                <c:pt idx="3">
                  <c:v>9.0260376164942382E-5</c:v>
                </c:pt>
                <c:pt idx="4">
                  <c:v>9.0260376164942382E-5</c:v>
                </c:pt>
                <c:pt idx="5">
                  <c:v>9.0260376164942382E-5</c:v>
                </c:pt>
                <c:pt idx="6">
                  <c:v>9.0260376164942382E-5</c:v>
                </c:pt>
                <c:pt idx="7">
                  <c:v>9.0260376164942382E-5</c:v>
                </c:pt>
                <c:pt idx="8">
                  <c:v>9.0260376164942382E-5</c:v>
                </c:pt>
                <c:pt idx="9">
                  <c:v>9.0260376164942382E-5</c:v>
                </c:pt>
                <c:pt idx="10">
                  <c:v>9.0260376164942382E-5</c:v>
                </c:pt>
                <c:pt idx="11">
                  <c:v>9.0260376164942382E-5</c:v>
                </c:pt>
                <c:pt idx="12">
                  <c:v>9.0260376164942382E-5</c:v>
                </c:pt>
                <c:pt idx="13">
                  <c:v>9.0260376164942382E-5</c:v>
                </c:pt>
                <c:pt idx="14">
                  <c:v>9.0260376164942382E-5</c:v>
                </c:pt>
                <c:pt idx="15">
                  <c:v>9.0260376164942382E-5</c:v>
                </c:pt>
                <c:pt idx="16">
                  <c:v>9.0260376164942382E-5</c:v>
                </c:pt>
                <c:pt idx="17">
                  <c:v>9.0260376164942382E-5</c:v>
                </c:pt>
                <c:pt idx="18">
                  <c:v>9.0260376164942382E-5</c:v>
                </c:pt>
                <c:pt idx="19">
                  <c:v>9.0260376164942382E-5</c:v>
                </c:pt>
                <c:pt idx="20">
                  <c:v>9.0260376164942382E-5</c:v>
                </c:pt>
                <c:pt idx="21">
                  <c:v>9.0260376164942382E-5</c:v>
                </c:pt>
                <c:pt idx="22">
                  <c:v>9.0260376164942382E-5</c:v>
                </c:pt>
                <c:pt idx="23">
                  <c:v>9.0260376164942382E-5</c:v>
                </c:pt>
                <c:pt idx="24">
                  <c:v>9.0260376164942382E-5</c:v>
                </c:pt>
                <c:pt idx="25">
                  <c:v>9.0260376164942382E-5</c:v>
                </c:pt>
                <c:pt idx="26">
                  <c:v>9.0260376164942382E-5</c:v>
                </c:pt>
                <c:pt idx="27">
                  <c:v>9.0260376164942382E-5</c:v>
                </c:pt>
                <c:pt idx="28">
                  <c:v>9.0260376164942382E-5</c:v>
                </c:pt>
                <c:pt idx="29">
                  <c:v>9.0260376164942382E-5</c:v>
                </c:pt>
                <c:pt idx="30">
                  <c:v>9.0260376164942382E-5</c:v>
                </c:pt>
                <c:pt idx="31">
                  <c:v>9.0260376164942382E-5</c:v>
                </c:pt>
                <c:pt idx="32">
                  <c:v>9.0260376164942382E-5</c:v>
                </c:pt>
                <c:pt idx="33">
                  <c:v>9.0260376164942382E-5</c:v>
                </c:pt>
                <c:pt idx="34">
                  <c:v>9.0260376164942382E-5</c:v>
                </c:pt>
                <c:pt idx="35">
                  <c:v>9.0260376164942382E-5</c:v>
                </c:pt>
                <c:pt idx="36">
                  <c:v>9.0260376164942382E-5</c:v>
                </c:pt>
                <c:pt idx="37">
                  <c:v>9.0260376164942382E-5</c:v>
                </c:pt>
                <c:pt idx="38">
                  <c:v>9.0260376164942382E-5</c:v>
                </c:pt>
                <c:pt idx="39">
                  <c:v>9.0260376164942382E-5</c:v>
                </c:pt>
                <c:pt idx="40">
                  <c:v>9.0260376164942382E-5</c:v>
                </c:pt>
                <c:pt idx="41">
                  <c:v>9.0260376164942382E-5</c:v>
                </c:pt>
                <c:pt idx="42">
                  <c:v>9.0260376164942382E-5</c:v>
                </c:pt>
                <c:pt idx="43">
                  <c:v>9.0260376164942382E-5</c:v>
                </c:pt>
                <c:pt idx="44">
                  <c:v>9.0260376164942382E-5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02-45FC-AE0A-836AA61DDC10}"/>
            </c:ext>
          </c:extLst>
        </c:ser>
        <c:ser>
          <c:idx val="3"/>
          <c:order val="3"/>
          <c:tx>
            <c:strRef>
              <c:f>Sheet2!$H$14</c:f>
              <c:strCache>
                <c:ptCount val="1"/>
                <c:pt idx="0">
                  <c:v>ViterbiNet(average)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Sheet2!$I$14:$BA$14</c:f>
              <c:numCache>
                <c:formatCode>0.00E+00</c:formatCode>
                <c:ptCount val="45"/>
                <c:pt idx="0">
                  <c:v>1.4279774088918394E-4</c:v>
                </c:pt>
                <c:pt idx="1">
                  <c:v>1.4279774088918394E-4</c:v>
                </c:pt>
                <c:pt idx="2">
                  <c:v>1.4279774088918394E-4</c:v>
                </c:pt>
                <c:pt idx="3">
                  <c:v>1.4279774088918394E-4</c:v>
                </c:pt>
                <c:pt idx="4">
                  <c:v>1.4279774088918394E-4</c:v>
                </c:pt>
                <c:pt idx="5">
                  <c:v>1.4279774088918394E-4</c:v>
                </c:pt>
                <c:pt idx="6">
                  <c:v>1.4279774088918394E-4</c:v>
                </c:pt>
                <c:pt idx="7">
                  <c:v>1.4279774088918394E-4</c:v>
                </c:pt>
                <c:pt idx="8">
                  <c:v>1.4279774088918394E-4</c:v>
                </c:pt>
                <c:pt idx="9">
                  <c:v>1.4279774088918394E-4</c:v>
                </c:pt>
                <c:pt idx="10">
                  <c:v>1.4279774088918394E-4</c:v>
                </c:pt>
                <c:pt idx="11">
                  <c:v>1.4279774088918394E-4</c:v>
                </c:pt>
                <c:pt idx="12">
                  <c:v>1.4279774088918394E-4</c:v>
                </c:pt>
                <c:pt idx="13">
                  <c:v>1.4279774088918394E-4</c:v>
                </c:pt>
                <c:pt idx="14">
                  <c:v>1.4279774088918394E-4</c:v>
                </c:pt>
                <c:pt idx="15">
                  <c:v>1.4279774088918394E-4</c:v>
                </c:pt>
                <c:pt idx="16">
                  <c:v>1.4279774088918394E-4</c:v>
                </c:pt>
                <c:pt idx="17">
                  <c:v>1.4279774088918394E-4</c:v>
                </c:pt>
                <c:pt idx="18">
                  <c:v>1.4279774088918394E-4</c:v>
                </c:pt>
                <c:pt idx="19">
                  <c:v>1.4279774088918394E-4</c:v>
                </c:pt>
                <c:pt idx="20">
                  <c:v>1.4279774088918394E-4</c:v>
                </c:pt>
                <c:pt idx="21">
                  <c:v>1.4279774088918394E-4</c:v>
                </c:pt>
                <c:pt idx="22">
                  <c:v>1.4279774088918394E-4</c:v>
                </c:pt>
                <c:pt idx="23">
                  <c:v>1.4279774088918394E-4</c:v>
                </c:pt>
                <c:pt idx="24">
                  <c:v>1.4279774088918394E-4</c:v>
                </c:pt>
                <c:pt idx="25">
                  <c:v>1.4279774088918394E-4</c:v>
                </c:pt>
                <c:pt idx="26">
                  <c:v>1.4279774088918394E-4</c:v>
                </c:pt>
                <c:pt idx="27">
                  <c:v>1.4279774088918394E-4</c:v>
                </c:pt>
                <c:pt idx="28">
                  <c:v>1.4279774088918394E-4</c:v>
                </c:pt>
                <c:pt idx="29">
                  <c:v>1.4279774088918394E-4</c:v>
                </c:pt>
                <c:pt idx="30">
                  <c:v>1.4279774088918394E-4</c:v>
                </c:pt>
                <c:pt idx="31">
                  <c:v>1.4279774088918394E-4</c:v>
                </c:pt>
                <c:pt idx="32">
                  <c:v>1.4279774088918394E-4</c:v>
                </c:pt>
                <c:pt idx="33">
                  <c:v>1.4279774088918394E-4</c:v>
                </c:pt>
                <c:pt idx="34">
                  <c:v>1.4279774088918394E-4</c:v>
                </c:pt>
                <c:pt idx="35">
                  <c:v>1.4279774088918394E-4</c:v>
                </c:pt>
                <c:pt idx="36">
                  <c:v>1.4279774088918394E-4</c:v>
                </c:pt>
                <c:pt idx="37">
                  <c:v>1.4279774088918394E-4</c:v>
                </c:pt>
                <c:pt idx="38">
                  <c:v>1.4279774088918394E-4</c:v>
                </c:pt>
                <c:pt idx="39">
                  <c:v>1.4279774088918394E-4</c:v>
                </c:pt>
                <c:pt idx="40">
                  <c:v>1.4279774088918394E-4</c:v>
                </c:pt>
                <c:pt idx="41">
                  <c:v>1.4279774088918394E-4</c:v>
                </c:pt>
                <c:pt idx="42">
                  <c:v>1.4279774088918394E-4</c:v>
                </c:pt>
                <c:pt idx="43">
                  <c:v>1.4279774088918394E-4</c:v>
                </c:pt>
                <c:pt idx="44">
                  <c:v>1.4279774088918394E-4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02-45FC-AE0A-836AA61DD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509504"/>
        <c:axId val="1652513344"/>
      </c:lineChart>
      <c:catAx>
        <c:axId val="1652509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513344"/>
        <c:crosses val="autoZero"/>
        <c:auto val="1"/>
        <c:lblAlgn val="ctr"/>
        <c:lblOffset val="100"/>
        <c:noMultiLvlLbl val="0"/>
      </c:catAx>
      <c:valAx>
        <c:axId val="1652513344"/>
        <c:scaling>
          <c:logBase val="10"/>
          <c:orientation val="minMax"/>
          <c:max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50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Sheet2!$P$29</c:f>
          <c:strCache>
            <c:ptCount val="1"/>
            <c:pt idx="0">
              <c:v>Transformer Vs Viterbi SNR=16dB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Sheet2!$H$17</c:f>
              <c:strCache>
                <c:ptCount val="1"/>
                <c:pt idx="0">
                  <c:v>Transformer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Sheet2!$I$17:$BA$17</c:f>
              <c:numCache>
                <c:formatCode>General</c:formatCode>
                <c:ptCount val="45"/>
                <c:pt idx="0">
                  <c:v>4.3209791183471602E-5</c:v>
                </c:pt>
                <c:pt idx="1">
                  <c:v>1.11110806465148E-4</c:v>
                </c:pt>
                <c:pt idx="2">
                  <c:v>4.3209791183471602E-5</c:v>
                </c:pt>
                <c:pt idx="3">
                  <c:v>9.8765095074971503E-5</c:v>
                </c:pt>
                <c:pt idx="4">
                  <c:v>2.77776850594414E-5</c:v>
                </c:pt>
                <c:pt idx="5">
                  <c:v>2.46912903255886E-5</c:v>
                </c:pt>
                <c:pt idx="6">
                  <c:v>5.5555436346265997E-5</c:v>
                </c:pt>
                <c:pt idx="7">
                  <c:v>7.7160331938001798E-5</c:v>
                </c:pt>
                <c:pt idx="8">
                  <c:v>1.54320398966471E-5</c:v>
                </c:pt>
                <c:pt idx="9">
                  <c:v>2.4691224098205499E-5</c:v>
                </c:pt>
                <c:pt idx="10">
                  <c:v>2.77776850594414E-5</c:v>
                </c:pt>
                <c:pt idx="11">
                  <c:v>1.23456451627943E-5</c:v>
                </c:pt>
                <c:pt idx="12">
                  <c:v>1.23456451627943E-4</c:v>
                </c:pt>
                <c:pt idx="13">
                  <c:v>7.7160331938001798E-5</c:v>
                </c:pt>
                <c:pt idx="14">
                  <c:v>5.5555436346265997E-5</c:v>
                </c:pt>
                <c:pt idx="15">
                  <c:v>1.23456451627943E-5</c:v>
                </c:pt>
                <c:pt idx="16">
                  <c:v>4.9382580651177302E-5</c:v>
                </c:pt>
                <c:pt idx="17">
                  <c:v>1.54320398966471E-5</c:v>
                </c:pt>
                <c:pt idx="18">
                  <c:v>3.7036935488382901E-5</c:v>
                </c:pt>
                <c:pt idx="19">
                  <c:v>8.6419582366943298E-5</c:v>
                </c:pt>
                <c:pt idx="20">
                  <c:v>1.23456451627943E-5</c:v>
                </c:pt>
                <c:pt idx="21">
                  <c:v>4.01233302222357E-5</c:v>
                </c:pt>
                <c:pt idx="22">
                  <c:v>1.8518434630499899E-5</c:v>
                </c:pt>
                <c:pt idx="23">
                  <c:v>2.1604829364352699E-5</c:v>
                </c:pt>
                <c:pt idx="24">
                  <c:v>1.6975257131788399E-4</c:v>
                </c:pt>
                <c:pt idx="25">
                  <c:v>6.1728225813971596E-5</c:v>
                </c:pt>
                <c:pt idx="26">
                  <c:v>2.1604829364352699E-5</c:v>
                </c:pt>
                <c:pt idx="27">
                  <c:v>1.54320398966471E-5</c:v>
                </c:pt>
                <c:pt idx="28">
                  <c:v>1.8518434630499899E-5</c:v>
                </c:pt>
                <c:pt idx="29">
                  <c:v>3.7036869260999799E-5</c:v>
                </c:pt>
                <c:pt idx="30">
                  <c:v>9.5678634113735602E-5</c:v>
                </c:pt>
                <c:pt idx="31">
                  <c:v>7.7160265710618696E-5</c:v>
                </c:pt>
                <c:pt idx="32">
                  <c:v>2.77776850594414E-5</c:v>
                </c:pt>
                <c:pt idx="33">
                  <c:v>9.2592438062031999E-5</c:v>
                </c:pt>
                <c:pt idx="34">
                  <c:v>1.23456451627943E-5</c:v>
                </c:pt>
                <c:pt idx="35">
                  <c:v>4.9382514423794201E-5</c:v>
                </c:pt>
                <c:pt idx="36">
                  <c:v>2.46912903255886E-5</c:v>
                </c:pt>
                <c:pt idx="37">
                  <c:v>2.0678970548841601E-4</c:v>
                </c:pt>
                <c:pt idx="38">
                  <c:v>2.77776850594414E-5</c:v>
                </c:pt>
                <c:pt idx="39">
                  <c:v>6.7901081509060297E-5</c:v>
                </c:pt>
                <c:pt idx="40">
                  <c:v>7.7160331938001798E-5</c:v>
                </c:pt>
                <c:pt idx="41">
                  <c:v>4.3209791183471602E-5</c:v>
                </c:pt>
                <c:pt idx="42">
                  <c:v>7.0987476242913097E-5</c:v>
                </c:pt>
                <c:pt idx="43">
                  <c:v>1.54320398966471E-5</c:v>
                </c:pt>
                <c:pt idx="44">
                  <c:v>5.5555370118882902E-5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E-47BC-A066-91F9071FE379}"/>
            </c:ext>
          </c:extLst>
        </c:ser>
        <c:ser>
          <c:idx val="1"/>
          <c:order val="1"/>
          <c:tx>
            <c:strRef>
              <c:f>Sheet2!$H$18</c:f>
              <c:strCache>
                <c:ptCount val="1"/>
                <c:pt idx="0">
                  <c:v>ViterbiNet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Sheet2!$I$18:$BA$18</c:f>
              <c:numCache>
                <c:formatCode>General</c:formatCode>
                <c:ptCount val="45"/>
                <c:pt idx="0">
                  <c:v>5.55553038914998E-5</c:v>
                </c:pt>
                <c:pt idx="1">
                  <c:v>3.7036869260999799E-5</c:v>
                </c:pt>
                <c:pt idx="2">
                  <c:v>1.01851489808824E-4</c:v>
                </c:pt>
                <c:pt idx="3">
                  <c:v>6.1728093359205406E-5</c:v>
                </c:pt>
                <c:pt idx="4">
                  <c:v>4.6296053462558299E-5</c:v>
                </c:pt>
                <c:pt idx="5">
                  <c:v>6.1728093359205406E-5</c:v>
                </c:pt>
                <c:pt idx="6">
                  <c:v>8.9505778418646901E-5</c:v>
                </c:pt>
                <c:pt idx="7">
                  <c:v>2.77776850594414E-5</c:v>
                </c:pt>
                <c:pt idx="8">
                  <c:v>4.6296053462558299E-5</c:v>
                </c:pt>
                <c:pt idx="9">
                  <c:v>8.3332988950941302E-5</c:v>
                </c:pt>
                <c:pt idx="10">
                  <c:v>2.77776850594414E-5</c:v>
                </c:pt>
                <c:pt idx="11">
                  <c:v>4.6296119689941401E-5</c:v>
                </c:pt>
                <c:pt idx="12">
                  <c:v>7.0987277560763805E-5</c:v>
                </c:pt>
                <c:pt idx="13">
                  <c:v>2.4691224098205499E-5</c:v>
                </c:pt>
                <c:pt idx="14">
                  <c:v>7.4073804749382794E-5</c:v>
                </c:pt>
                <c:pt idx="15">
                  <c:v>8.3332988950941302E-5</c:v>
                </c:pt>
                <c:pt idx="16">
                  <c:v>7.7160133255852506E-5</c:v>
                </c:pt>
                <c:pt idx="17">
                  <c:v>6.1728159586588494E-5</c:v>
                </c:pt>
                <c:pt idx="18">
                  <c:v>7.0987410015529995E-5</c:v>
                </c:pt>
                <c:pt idx="19">
                  <c:v>8.33329227235582E-5</c:v>
                </c:pt>
                <c:pt idx="20">
                  <c:v>8.6419449912177095E-5</c:v>
                </c:pt>
                <c:pt idx="21">
                  <c:v>6.4814488093058206E-5</c:v>
                </c:pt>
                <c:pt idx="22">
                  <c:v>8.0246461762322298E-5</c:v>
                </c:pt>
                <c:pt idx="23">
                  <c:v>4.01232639948527E-5</c:v>
                </c:pt>
                <c:pt idx="24">
                  <c:v>6.7900882826911005E-5</c:v>
                </c:pt>
                <c:pt idx="25">
                  <c:v>4.3209592501322398E-5</c:v>
                </c:pt>
                <c:pt idx="26">
                  <c:v>5.2468975385030102E-5</c:v>
                </c:pt>
                <c:pt idx="27">
                  <c:v>4.32096587287055E-5</c:v>
                </c:pt>
                <c:pt idx="28">
                  <c:v>6.4814620547824396E-5</c:v>
                </c:pt>
                <c:pt idx="29">
                  <c:v>4.9382514423794201E-5</c:v>
                </c:pt>
                <c:pt idx="30">
                  <c:v>3.0864013565911098E-5</c:v>
                </c:pt>
                <c:pt idx="31">
                  <c:v>1.8518368403116801E-5</c:v>
                </c:pt>
                <c:pt idx="32">
                  <c:v>8.6419383684794101E-5</c:v>
                </c:pt>
                <c:pt idx="33">
                  <c:v>4.0123197767469598E-5</c:v>
                </c:pt>
                <c:pt idx="34">
                  <c:v>4.6296053462558299E-5</c:v>
                </c:pt>
                <c:pt idx="35">
                  <c:v>4.32097249560885E-5</c:v>
                </c:pt>
                <c:pt idx="36">
                  <c:v>8.3333055178324295E-5</c:v>
                </c:pt>
                <c:pt idx="37">
                  <c:v>7.0987277560763805E-5</c:v>
                </c:pt>
                <c:pt idx="38">
                  <c:v>8.9505844646030003E-5</c:v>
                </c:pt>
                <c:pt idx="39">
                  <c:v>6.4814554320441294E-5</c:v>
                </c:pt>
                <c:pt idx="40">
                  <c:v>3.7036869260999799E-5</c:v>
                </c:pt>
                <c:pt idx="41">
                  <c:v>4.6295987235175198E-5</c:v>
                </c:pt>
                <c:pt idx="42">
                  <c:v>4.32096587287055E-5</c:v>
                </c:pt>
                <c:pt idx="43">
                  <c:v>2.7777618832058302E-5</c:v>
                </c:pt>
                <c:pt idx="44">
                  <c:v>4.9382514423794201E-5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0E-47BC-A066-91F9071FE379}"/>
            </c:ext>
          </c:extLst>
        </c:ser>
        <c:ser>
          <c:idx val="2"/>
          <c:order val="2"/>
          <c:tx>
            <c:strRef>
              <c:f>Sheet2!$H$19</c:f>
              <c:strCache>
                <c:ptCount val="1"/>
                <c:pt idx="0">
                  <c:v>Transformer(average)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Sheet2!$I$19:$BA$19</c:f>
              <c:numCache>
                <c:formatCode>0.00E+00</c:formatCode>
                <c:ptCount val="45"/>
                <c:pt idx="0">
                  <c:v>5.2880510871792903E-5</c:v>
                </c:pt>
                <c:pt idx="1">
                  <c:v>5.2880510871792903E-5</c:v>
                </c:pt>
                <c:pt idx="2">
                  <c:v>5.2880510871792903E-5</c:v>
                </c:pt>
                <c:pt idx="3">
                  <c:v>5.2880510871792903E-5</c:v>
                </c:pt>
                <c:pt idx="4">
                  <c:v>5.2880510871792903E-5</c:v>
                </c:pt>
                <c:pt idx="5">
                  <c:v>5.2880510871792903E-5</c:v>
                </c:pt>
                <c:pt idx="6">
                  <c:v>5.2880510871792903E-5</c:v>
                </c:pt>
                <c:pt idx="7">
                  <c:v>5.2880510871792903E-5</c:v>
                </c:pt>
                <c:pt idx="8">
                  <c:v>5.2880510871792903E-5</c:v>
                </c:pt>
                <c:pt idx="9">
                  <c:v>5.2880510871792903E-5</c:v>
                </c:pt>
                <c:pt idx="10">
                  <c:v>5.2880510871792903E-5</c:v>
                </c:pt>
                <c:pt idx="11">
                  <c:v>5.2880510871792903E-5</c:v>
                </c:pt>
                <c:pt idx="12">
                  <c:v>5.2880510871792903E-5</c:v>
                </c:pt>
                <c:pt idx="13">
                  <c:v>5.2880510871792903E-5</c:v>
                </c:pt>
                <c:pt idx="14">
                  <c:v>5.2880510871792903E-5</c:v>
                </c:pt>
                <c:pt idx="15">
                  <c:v>5.2880510871792903E-5</c:v>
                </c:pt>
                <c:pt idx="16">
                  <c:v>5.2880510871792903E-5</c:v>
                </c:pt>
                <c:pt idx="17">
                  <c:v>5.2880510871792903E-5</c:v>
                </c:pt>
                <c:pt idx="18">
                  <c:v>5.2880510871792903E-5</c:v>
                </c:pt>
                <c:pt idx="19">
                  <c:v>5.2880510871792903E-5</c:v>
                </c:pt>
                <c:pt idx="20">
                  <c:v>5.2880510871792903E-5</c:v>
                </c:pt>
                <c:pt idx="21">
                  <c:v>5.2880510871792903E-5</c:v>
                </c:pt>
                <c:pt idx="22">
                  <c:v>5.2880510871792903E-5</c:v>
                </c:pt>
                <c:pt idx="23">
                  <c:v>5.2880510871792903E-5</c:v>
                </c:pt>
                <c:pt idx="24">
                  <c:v>5.2880510871792903E-5</c:v>
                </c:pt>
                <c:pt idx="25">
                  <c:v>5.2880510871792903E-5</c:v>
                </c:pt>
                <c:pt idx="26">
                  <c:v>5.2880510871792903E-5</c:v>
                </c:pt>
                <c:pt idx="27">
                  <c:v>5.2880510871792903E-5</c:v>
                </c:pt>
                <c:pt idx="28">
                  <c:v>5.2880510871792903E-5</c:v>
                </c:pt>
                <c:pt idx="29">
                  <c:v>5.2880510871792903E-5</c:v>
                </c:pt>
                <c:pt idx="30">
                  <c:v>5.2880510871792903E-5</c:v>
                </c:pt>
                <c:pt idx="31">
                  <c:v>5.2880510871792903E-5</c:v>
                </c:pt>
                <c:pt idx="32">
                  <c:v>5.2880510871792903E-5</c:v>
                </c:pt>
                <c:pt idx="33">
                  <c:v>5.2880510871792903E-5</c:v>
                </c:pt>
                <c:pt idx="34">
                  <c:v>5.2880510871792903E-5</c:v>
                </c:pt>
                <c:pt idx="35">
                  <c:v>5.2880510871792903E-5</c:v>
                </c:pt>
                <c:pt idx="36">
                  <c:v>5.2880510871792903E-5</c:v>
                </c:pt>
                <c:pt idx="37">
                  <c:v>5.2880510871792903E-5</c:v>
                </c:pt>
                <c:pt idx="38">
                  <c:v>5.2880510871792903E-5</c:v>
                </c:pt>
                <c:pt idx="39">
                  <c:v>5.2880510871792903E-5</c:v>
                </c:pt>
                <c:pt idx="40">
                  <c:v>5.2880510871792903E-5</c:v>
                </c:pt>
                <c:pt idx="41">
                  <c:v>5.2880510871792903E-5</c:v>
                </c:pt>
                <c:pt idx="42">
                  <c:v>5.2880510871792903E-5</c:v>
                </c:pt>
                <c:pt idx="43">
                  <c:v>5.2880510871792903E-5</c:v>
                </c:pt>
                <c:pt idx="44">
                  <c:v>5.2880510871792903E-5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0E-47BC-A066-91F9071FE379}"/>
            </c:ext>
          </c:extLst>
        </c:ser>
        <c:ser>
          <c:idx val="3"/>
          <c:order val="3"/>
          <c:tx>
            <c:strRef>
              <c:f>Sheet2!$H$20</c:f>
              <c:strCache>
                <c:ptCount val="1"/>
                <c:pt idx="0">
                  <c:v>ViterbiNet(average)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Sheet2!$I$20:$BA$20</c:f>
              <c:numCache>
                <c:formatCode>0.00E+00</c:formatCode>
                <c:ptCount val="45"/>
                <c:pt idx="0">
                  <c:v>5.781867033169586E-5</c:v>
                </c:pt>
                <c:pt idx="1">
                  <c:v>5.781867033169586E-5</c:v>
                </c:pt>
                <c:pt idx="2">
                  <c:v>5.781867033169586E-5</c:v>
                </c:pt>
                <c:pt idx="3">
                  <c:v>5.781867033169586E-5</c:v>
                </c:pt>
                <c:pt idx="4">
                  <c:v>5.781867033169586E-5</c:v>
                </c:pt>
                <c:pt idx="5">
                  <c:v>5.781867033169586E-5</c:v>
                </c:pt>
                <c:pt idx="6">
                  <c:v>5.781867033169586E-5</c:v>
                </c:pt>
                <c:pt idx="7">
                  <c:v>5.781867033169586E-5</c:v>
                </c:pt>
                <c:pt idx="8">
                  <c:v>5.781867033169586E-5</c:v>
                </c:pt>
                <c:pt idx="9">
                  <c:v>5.781867033169586E-5</c:v>
                </c:pt>
                <c:pt idx="10">
                  <c:v>5.781867033169586E-5</c:v>
                </c:pt>
                <c:pt idx="11">
                  <c:v>5.781867033169586E-5</c:v>
                </c:pt>
                <c:pt idx="12">
                  <c:v>5.781867033169586E-5</c:v>
                </c:pt>
                <c:pt idx="13">
                  <c:v>5.781867033169586E-5</c:v>
                </c:pt>
                <c:pt idx="14">
                  <c:v>5.781867033169586E-5</c:v>
                </c:pt>
                <c:pt idx="15">
                  <c:v>5.781867033169586E-5</c:v>
                </c:pt>
                <c:pt idx="16">
                  <c:v>5.781867033169586E-5</c:v>
                </c:pt>
                <c:pt idx="17">
                  <c:v>5.781867033169586E-5</c:v>
                </c:pt>
                <c:pt idx="18">
                  <c:v>5.781867033169586E-5</c:v>
                </c:pt>
                <c:pt idx="19">
                  <c:v>5.781867033169586E-5</c:v>
                </c:pt>
                <c:pt idx="20">
                  <c:v>5.781867033169586E-5</c:v>
                </c:pt>
                <c:pt idx="21">
                  <c:v>5.781867033169586E-5</c:v>
                </c:pt>
                <c:pt idx="22">
                  <c:v>5.781867033169586E-5</c:v>
                </c:pt>
                <c:pt idx="23">
                  <c:v>5.781867033169586E-5</c:v>
                </c:pt>
                <c:pt idx="24">
                  <c:v>5.781867033169586E-5</c:v>
                </c:pt>
                <c:pt idx="25">
                  <c:v>5.781867033169586E-5</c:v>
                </c:pt>
                <c:pt idx="26">
                  <c:v>5.781867033169586E-5</c:v>
                </c:pt>
                <c:pt idx="27">
                  <c:v>5.781867033169586E-5</c:v>
                </c:pt>
                <c:pt idx="28">
                  <c:v>5.781867033169586E-5</c:v>
                </c:pt>
                <c:pt idx="29">
                  <c:v>5.781867033169586E-5</c:v>
                </c:pt>
                <c:pt idx="30">
                  <c:v>5.781867033169586E-5</c:v>
                </c:pt>
                <c:pt idx="31">
                  <c:v>5.781867033169586E-5</c:v>
                </c:pt>
                <c:pt idx="32">
                  <c:v>5.781867033169586E-5</c:v>
                </c:pt>
                <c:pt idx="33">
                  <c:v>5.781867033169586E-5</c:v>
                </c:pt>
                <c:pt idx="34">
                  <c:v>5.781867033169586E-5</c:v>
                </c:pt>
                <c:pt idx="35">
                  <c:v>5.781867033169586E-5</c:v>
                </c:pt>
                <c:pt idx="36">
                  <c:v>5.781867033169586E-5</c:v>
                </c:pt>
                <c:pt idx="37">
                  <c:v>5.781867033169586E-5</c:v>
                </c:pt>
                <c:pt idx="38">
                  <c:v>5.781867033169586E-5</c:v>
                </c:pt>
                <c:pt idx="39">
                  <c:v>5.781867033169586E-5</c:v>
                </c:pt>
                <c:pt idx="40">
                  <c:v>5.781867033169586E-5</c:v>
                </c:pt>
                <c:pt idx="41">
                  <c:v>5.781867033169586E-5</c:v>
                </c:pt>
                <c:pt idx="42">
                  <c:v>5.781867033169586E-5</c:v>
                </c:pt>
                <c:pt idx="43">
                  <c:v>5.781867033169586E-5</c:v>
                </c:pt>
                <c:pt idx="44">
                  <c:v>5.781867033169586E-5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0E-47BC-A066-91F9071FE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509504"/>
        <c:axId val="1652513344"/>
      </c:lineChart>
      <c:catAx>
        <c:axId val="1652509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513344"/>
        <c:crosses val="autoZero"/>
        <c:auto val="1"/>
        <c:lblAlgn val="ctr"/>
        <c:lblOffset val="100"/>
        <c:noMultiLvlLbl val="0"/>
      </c:catAx>
      <c:valAx>
        <c:axId val="1652513344"/>
        <c:scaling>
          <c:logBase val="10"/>
          <c:orientation val="minMax"/>
          <c:max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50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Sheet2!$AA$29</c:f>
          <c:strCache>
            <c:ptCount val="1"/>
            <c:pt idx="0">
              <c:v>Transformer Vs Viterbi SNR=17dB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Sheet2!$H$22</c:f>
              <c:strCache>
                <c:ptCount val="1"/>
                <c:pt idx="0">
                  <c:v>Transformer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Sheet2!$I$22:$AS$22</c:f>
              <c:numCache>
                <c:formatCode>General</c:formatCode>
                <c:ptCount val="37"/>
                <c:pt idx="0">
                  <c:v>2.4791290325588599E-5</c:v>
                </c:pt>
                <c:pt idx="1">
                  <c:v>1.5532039896647099E-5</c:v>
                </c:pt>
                <c:pt idx="2">
                  <c:v>1.5532039896647099E-5</c:v>
                </c:pt>
                <c:pt idx="3">
                  <c:v>1.5532039896647099E-5</c:v>
                </c:pt>
                <c:pt idx="4">
                  <c:v>5.25690416124132E-5</c:v>
                </c:pt>
                <c:pt idx="5">
                  <c:v>3.4050540754530103E-5</c:v>
                </c:pt>
                <c:pt idx="6">
                  <c:v>1.8618434630499898E-5</c:v>
                </c:pt>
                <c:pt idx="7">
                  <c:v>4.3309724956088502E-5</c:v>
                </c:pt>
                <c:pt idx="8">
                  <c:v>1.5532039896647099E-5</c:v>
                </c:pt>
                <c:pt idx="9">
                  <c:v>2.4791290325588599E-5</c:v>
                </c:pt>
                <c:pt idx="10">
                  <c:v>5.2568975385030105E-5</c:v>
                </c:pt>
                <c:pt idx="11">
                  <c:v>1.2445645162794301E-5</c:v>
                </c:pt>
                <c:pt idx="12">
                  <c:v>1.2445645162794301E-5</c:v>
                </c:pt>
                <c:pt idx="13">
                  <c:v>1.2445645162794301E-5</c:v>
                </c:pt>
                <c:pt idx="14">
                  <c:v>7.7260265710618698E-5</c:v>
                </c:pt>
                <c:pt idx="15">
                  <c:v>2.4791356552971698E-5</c:v>
                </c:pt>
                <c:pt idx="16">
                  <c:v>9.3592504289415115E-6</c:v>
                </c:pt>
                <c:pt idx="17">
                  <c:v>9.3592504289415115E-6</c:v>
                </c:pt>
                <c:pt idx="18">
                  <c:v>9.9999999999999995E-8</c:v>
                </c:pt>
                <c:pt idx="19">
                  <c:v>2.4791290325588599E-5</c:v>
                </c:pt>
                <c:pt idx="20">
                  <c:v>9.9999999999999995E-8</c:v>
                </c:pt>
                <c:pt idx="21">
                  <c:v>3.0964079793294202E-5</c:v>
                </c:pt>
                <c:pt idx="22">
                  <c:v>1.2445645162794301E-5</c:v>
                </c:pt>
                <c:pt idx="23">
                  <c:v>1.32815702056884E-4</c:v>
                </c:pt>
                <c:pt idx="24">
                  <c:v>1.5532039896647099E-5</c:v>
                </c:pt>
                <c:pt idx="25">
                  <c:v>5.5655436346265999E-5</c:v>
                </c:pt>
                <c:pt idx="26">
                  <c:v>4.3309791183471604E-5</c:v>
                </c:pt>
                <c:pt idx="27">
                  <c:v>9.9999999999999995E-8</c:v>
                </c:pt>
                <c:pt idx="28">
                  <c:v>2.4791290325588599E-5</c:v>
                </c:pt>
                <c:pt idx="29">
                  <c:v>6.2727894677056203E-6</c:v>
                </c:pt>
                <c:pt idx="30">
                  <c:v>9.9999999999999995E-8</c:v>
                </c:pt>
                <c:pt idx="31">
                  <c:v>2.4791290325588599E-5</c:v>
                </c:pt>
                <c:pt idx="32">
                  <c:v>8.6519516139560199E-5</c:v>
                </c:pt>
                <c:pt idx="33">
                  <c:v>3.7136935488382903E-5</c:v>
                </c:pt>
                <c:pt idx="34">
                  <c:v>9.9999999999999995E-8</c:v>
                </c:pt>
                <c:pt idx="35">
                  <c:v>2.4791290325588599E-5</c:v>
                </c:pt>
                <c:pt idx="36">
                  <c:v>9.9999999999999995E-8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95-4BA5-BE3B-4876B2514314}"/>
            </c:ext>
          </c:extLst>
        </c:ser>
        <c:ser>
          <c:idx val="1"/>
          <c:order val="1"/>
          <c:tx>
            <c:strRef>
              <c:f>Sheet2!$H$23</c:f>
              <c:strCache>
                <c:ptCount val="1"/>
                <c:pt idx="0">
                  <c:v>ViterbiNet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Sheet2!$I$23:$AS$23</c:f>
              <c:numCache>
                <c:formatCode>General</c:formatCode>
                <c:ptCount val="37"/>
                <c:pt idx="0">
                  <c:v>1.3345578935411201E-5</c:v>
                </c:pt>
                <c:pt idx="1">
                  <c:v>1.9518368403116802E-5</c:v>
                </c:pt>
                <c:pt idx="2">
                  <c:v>2.2604895591735801E-5</c:v>
                </c:pt>
                <c:pt idx="3">
                  <c:v>1.95184346304999E-5</c:v>
                </c:pt>
                <c:pt idx="4">
                  <c:v>2.5691290325588601E-5</c:v>
                </c:pt>
                <c:pt idx="5">
                  <c:v>3.1864013565911095E-5</c:v>
                </c:pt>
                <c:pt idx="6">
                  <c:v>3.8036869260999796E-5</c:v>
                </c:pt>
                <c:pt idx="7">
                  <c:v>2.5691224098205499E-5</c:v>
                </c:pt>
                <c:pt idx="8">
                  <c:v>1.64320398966471E-5</c:v>
                </c:pt>
                <c:pt idx="9">
                  <c:v>2.26048293643527E-5</c:v>
                </c:pt>
                <c:pt idx="10">
                  <c:v>3.1864013565911095E-5</c:v>
                </c:pt>
                <c:pt idx="11">
                  <c:v>7.1727894677056201E-6</c:v>
                </c:pt>
                <c:pt idx="12">
                  <c:v>1.3345578935411201E-5</c:v>
                </c:pt>
                <c:pt idx="13">
                  <c:v>1.0259250428941511E-5</c:v>
                </c:pt>
                <c:pt idx="14">
                  <c:v>7.1727894677056201E-6</c:v>
                </c:pt>
                <c:pt idx="15">
                  <c:v>2.8777685059441401E-5</c:v>
                </c:pt>
                <c:pt idx="16">
                  <c:v>1.9518500857883002E-5</c:v>
                </c:pt>
                <c:pt idx="17">
                  <c:v>3.8036869260999796E-5</c:v>
                </c:pt>
                <c:pt idx="18">
                  <c:v>2.5691224098205499E-5</c:v>
                </c:pt>
                <c:pt idx="19">
                  <c:v>3.8036869260999796E-5</c:v>
                </c:pt>
                <c:pt idx="20">
                  <c:v>7.1727894677056201E-6</c:v>
                </c:pt>
                <c:pt idx="21">
                  <c:v>4.7296119689941398E-5</c:v>
                </c:pt>
                <c:pt idx="22">
                  <c:v>4.1123263994852697E-5</c:v>
                </c:pt>
                <c:pt idx="23">
                  <c:v>3.4950474527146996E-5</c:v>
                </c:pt>
                <c:pt idx="24">
                  <c:v>1.0259250428941511E-5</c:v>
                </c:pt>
                <c:pt idx="25">
                  <c:v>3.4950474527146996E-5</c:v>
                </c:pt>
                <c:pt idx="26">
                  <c:v>4.7296119689941398E-5</c:v>
                </c:pt>
                <c:pt idx="27">
                  <c:v>2.8777618832058302E-5</c:v>
                </c:pt>
                <c:pt idx="28">
                  <c:v>5.0382448196411096E-5</c:v>
                </c:pt>
                <c:pt idx="29">
                  <c:v>1.95184346304999E-5</c:v>
                </c:pt>
                <c:pt idx="30">
                  <c:v>1.95184346304999E-5</c:v>
                </c:pt>
                <c:pt idx="31">
                  <c:v>1.95184346304999E-5</c:v>
                </c:pt>
                <c:pt idx="32">
                  <c:v>1.9518500857883002E-5</c:v>
                </c:pt>
                <c:pt idx="33">
                  <c:v>3.8036869260999796E-5</c:v>
                </c:pt>
                <c:pt idx="34">
                  <c:v>7.1727894677056201E-6</c:v>
                </c:pt>
                <c:pt idx="35">
                  <c:v>7.1727894677056201E-6</c:v>
                </c:pt>
                <c:pt idx="36">
                  <c:v>2.2604895591735801E-5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95-4BA5-BE3B-4876B2514314}"/>
            </c:ext>
          </c:extLst>
        </c:ser>
        <c:ser>
          <c:idx val="2"/>
          <c:order val="2"/>
          <c:tx>
            <c:strRef>
              <c:f>Sheet2!$H$24</c:f>
              <c:strCache>
                <c:ptCount val="1"/>
                <c:pt idx="0">
                  <c:v>Transformer(average)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Sheet2!$I$24:$AS$24</c:f>
              <c:numCache>
                <c:formatCode>0.00E+00</c:formatCode>
                <c:ptCount val="37"/>
                <c:pt idx="0">
                  <c:v>2.5957267556367052E-5</c:v>
                </c:pt>
                <c:pt idx="1">
                  <c:v>2.5957267556367052E-5</c:v>
                </c:pt>
                <c:pt idx="2">
                  <c:v>2.5957267556367052E-5</c:v>
                </c:pt>
                <c:pt idx="3">
                  <c:v>2.5957267556367052E-5</c:v>
                </c:pt>
                <c:pt idx="4">
                  <c:v>2.5957267556367052E-5</c:v>
                </c:pt>
                <c:pt idx="5">
                  <c:v>2.5957267556367052E-5</c:v>
                </c:pt>
                <c:pt idx="6">
                  <c:v>2.5957267556367052E-5</c:v>
                </c:pt>
                <c:pt idx="7">
                  <c:v>2.5957267556367052E-5</c:v>
                </c:pt>
                <c:pt idx="8">
                  <c:v>2.5957267556367052E-5</c:v>
                </c:pt>
                <c:pt idx="9">
                  <c:v>2.5957267556367052E-5</c:v>
                </c:pt>
                <c:pt idx="10">
                  <c:v>2.5957267556367052E-5</c:v>
                </c:pt>
                <c:pt idx="11">
                  <c:v>2.5957267556367052E-5</c:v>
                </c:pt>
                <c:pt idx="12">
                  <c:v>2.5957267556367052E-5</c:v>
                </c:pt>
                <c:pt idx="13">
                  <c:v>2.5957267556367052E-5</c:v>
                </c:pt>
                <c:pt idx="14">
                  <c:v>2.5957267556367052E-5</c:v>
                </c:pt>
                <c:pt idx="15">
                  <c:v>2.5957267556367052E-5</c:v>
                </c:pt>
                <c:pt idx="16">
                  <c:v>2.5957267556367052E-5</c:v>
                </c:pt>
                <c:pt idx="17">
                  <c:v>2.5957267556367052E-5</c:v>
                </c:pt>
                <c:pt idx="18">
                  <c:v>2.5957267556367052E-5</c:v>
                </c:pt>
                <c:pt idx="19">
                  <c:v>2.5957267556367052E-5</c:v>
                </c:pt>
                <c:pt idx="20">
                  <c:v>2.5957267556367052E-5</c:v>
                </c:pt>
                <c:pt idx="21">
                  <c:v>2.5957267556367052E-5</c:v>
                </c:pt>
                <c:pt idx="22">
                  <c:v>2.5957267556367052E-5</c:v>
                </c:pt>
                <c:pt idx="23">
                  <c:v>2.5957267556367052E-5</c:v>
                </c:pt>
                <c:pt idx="24">
                  <c:v>2.5957267556367052E-5</c:v>
                </c:pt>
                <c:pt idx="25">
                  <c:v>2.5957267556367052E-5</c:v>
                </c:pt>
                <c:pt idx="26">
                  <c:v>2.5957267556367052E-5</c:v>
                </c:pt>
                <c:pt idx="27">
                  <c:v>2.5957267556367052E-5</c:v>
                </c:pt>
                <c:pt idx="28">
                  <c:v>2.5957267556367052E-5</c:v>
                </c:pt>
                <c:pt idx="29">
                  <c:v>2.5957267556367052E-5</c:v>
                </c:pt>
                <c:pt idx="30">
                  <c:v>2.5957267556367052E-5</c:v>
                </c:pt>
                <c:pt idx="31">
                  <c:v>2.5957267556367052E-5</c:v>
                </c:pt>
                <c:pt idx="32">
                  <c:v>2.5957267556367052E-5</c:v>
                </c:pt>
                <c:pt idx="33">
                  <c:v>2.5957267556367052E-5</c:v>
                </c:pt>
                <c:pt idx="34">
                  <c:v>2.5957267556367052E-5</c:v>
                </c:pt>
                <c:pt idx="35">
                  <c:v>2.5957267556367052E-5</c:v>
                </c:pt>
                <c:pt idx="36">
                  <c:v>2.5957267556367052E-5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95-4BA5-BE3B-4876B2514314}"/>
            </c:ext>
          </c:extLst>
        </c:ser>
        <c:ser>
          <c:idx val="3"/>
          <c:order val="3"/>
          <c:tx>
            <c:strRef>
              <c:f>Sheet2!$H$25</c:f>
              <c:strCache>
                <c:ptCount val="1"/>
                <c:pt idx="0">
                  <c:v>ViterbiNet(average)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Sheet2!$I$25:$AS$25</c:f>
              <c:numCache>
                <c:formatCode>0.00E+00</c:formatCode>
                <c:ptCount val="37"/>
                <c:pt idx="0">
                  <c:v>2.5622661096078335E-5</c:v>
                </c:pt>
                <c:pt idx="1">
                  <c:v>2.5622661096078335E-5</c:v>
                </c:pt>
                <c:pt idx="2">
                  <c:v>2.5622661096078335E-5</c:v>
                </c:pt>
                <c:pt idx="3">
                  <c:v>2.5622661096078335E-5</c:v>
                </c:pt>
                <c:pt idx="4">
                  <c:v>2.5622661096078335E-5</c:v>
                </c:pt>
                <c:pt idx="5">
                  <c:v>2.5622661096078335E-5</c:v>
                </c:pt>
                <c:pt idx="6">
                  <c:v>2.5622661096078335E-5</c:v>
                </c:pt>
                <c:pt idx="7">
                  <c:v>2.5622661096078335E-5</c:v>
                </c:pt>
                <c:pt idx="8">
                  <c:v>2.5622661096078335E-5</c:v>
                </c:pt>
                <c:pt idx="9">
                  <c:v>2.5622661096078335E-5</c:v>
                </c:pt>
                <c:pt idx="10">
                  <c:v>2.5622661096078335E-5</c:v>
                </c:pt>
                <c:pt idx="11">
                  <c:v>2.5622661096078335E-5</c:v>
                </c:pt>
                <c:pt idx="12">
                  <c:v>2.5622661096078335E-5</c:v>
                </c:pt>
                <c:pt idx="13">
                  <c:v>2.5622661096078335E-5</c:v>
                </c:pt>
                <c:pt idx="14">
                  <c:v>2.5622661096078335E-5</c:v>
                </c:pt>
                <c:pt idx="15">
                  <c:v>2.5622661096078335E-5</c:v>
                </c:pt>
                <c:pt idx="16">
                  <c:v>2.5622661096078335E-5</c:v>
                </c:pt>
                <c:pt idx="17">
                  <c:v>2.5622661096078335E-5</c:v>
                </c:pt>
                <c:pt idx="18">
                  <c:v>2.5622661096078335E-5</c:v>
                </c:pt>
                <c:pt idx="19">
                  <c:v>2.5622661096078335E-5</c:v>
                </c:pt>
                <c:pt idx="20">
                  <c:v>2.5622661096078335E-5</c:v>
                </c:pt>
                <c:pt idx="21">
                  <c:v>2.5622661096078335E-5</c:v>
                </c:pt>
                <c:pt idx="22">
                  <c:v>2.5622661096078335E-5</c:v>
                </c:pt>
                <c:pt idx="23">
                  <c:v>2.5622661096078335E-5</c:v>
                </c:pt>
                <c:pt idx="24">
                  <c:v>2.5622661096078335E-5</c:v>
                </c:pt>
                <c:pt idx="25">
                  <c:v>2.5622661096078335E-5</c:v>
                </c:pt>
                <c:pt idx="26">
                  <c:v>2.5622661096078335E-5</c:v>
                </c:pt>
                <c:pt idx="27">
                  <c:v>2.5622661096078335E-5</c:v>
                </c:pt>
                <c:pt idx="28">
                  <c:v>2.5622661096078335E-5</c:v>
                </c:pt>
                <c:pt idx="29">
                  <c:v>2.5622661096078335E-5</c:v>
                </c:pt>
                <c:pt idx="30">
                  <c:v>2.5622661096078335E-5</c:v>
                </c:pt>
                <c:pt idx="31">
                  <c:v>2.5622661096078335E-5</c:v>
                </c:pt>
                <c:pt idx="32">
                  <c:v>2.5622661096078335E-5</c:v>
                </c:pt>
                <c:pt idx="33">
                  <c:v>2.5622661096078335E-5</c:v>
                </c:pt>
                <c:pt idx="34">
                  <c:v>2.5622661096078335E-5</c:v>
                </c:pt>
                <c:pt idx="35">
                  <c:v>2.5622661096078335E-5</c:v>
                </c:pt>
                <c:pt idx="36">
                  <c:v>2.5622661096078335E-5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95-4BA5-BE3B-4876B2514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509504"/>
        <c:axId val="1652513344"/>
      </c:lineChart>
      <c:catAx>
        <c:axId val="165250950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513344"/>
        <c:crosses val="autoZero"/>
        <c:auto val="1"/>
        <c:lblAlgn val="ctr"/>
        <c:lblOffset val="100"/>
        <c:noMultiLvlLbl val="0"/>
      </c:catAx>
      <c:valAx>
        <c:axId val="1652513344"/>
        <c:scaling>
          <c:logBase val="10"/>
          <c:orientation val="minMax"/>
          <c:max val="5.0000000000000012E-4"/>
          <c:min val="1.0000000000000004E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50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21</xdr:row>
      <xdr:rowOff>52387</xdr:rowOff>
    </xdr:from>
    <xdr:to>
      <xdr:col>14</xdr:col>
      <xdr:colOff>276225</xdr:colOff>
      <xdr:row>35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855A4-1129-B420-9812-77B9B1EFB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466725</xdr:colOff>
      <xdr:row>1</xdr:row>
      <xdr:rowOff>114300</xdr:rowOff>
    </xdr:from>
    <xdr:to>
      <xdr:col>20</xdr:col>
      <xdr:colOff>352425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67C08-4F67-4DCB-8AA0-DBDF90AAA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25</xdr:row>
      <xdr:rowOff>38100</xdr:rowOff>
    </xdr:from>
    <xdr:to>
      <xdr:col>13</xdr:col>
      <xdr:colOff>495300</xdr:colOff>
      <xdr:row>39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5B67A9-C0A0-474D-93F9-0116C638F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590550</xdr:colOff>
      <xdr:row>45</xdr:row>
      <xdr:rowOff>28575</xdr:rowOff>
    </xdr:from>
    <xdr:to>
      <xdr:col>13</xdr:col>
      <xdr:colOff>514350</xdr:colOff>
      <xdr:row>59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91EDBB-6BA2-4E5B-9828-78543C996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557212</xdr:colOff>
      <xdr:row>29</xdr:row>
      <xdr:rowOff>42862</xdr:rowOff>
    </xdr:from>
    <xdr:to>
      <xdr:col>13</xdr:col>
      <xdr:colOff>490537</xdr:colOff>
      <xdr:row>43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11707B-CEA1-5392-39AF-F1C7D0116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466725</xdr:colOff>
      <xdr:row>29</xdr:row>
      <xdr:rowOff>9525</xdr:rowOff>
    </xdr:from>
    <xdr:to>
      <xdr:col>23</xdr:col>
      <xdr:colOff>304800</xdr:colOff>
      <xdr:row>43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2D1006-B133-473D-8031-5EDCBD1E4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29</xdr:row>
      <xdr:rowOff>0</xdr:rowOff>
    </xdr:from>
    <xdr:to>
      <xdr:col>34</xdr:col>
      <xdr:colOff>450397</xdr:colOff>
      <xdr:row>43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45DBF67-76DD-4F1D-9429-FC208FE03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1569-FB00-4374-B6F4-E31E5A57E4AC}">
  <dimension ref="A1:J37"/>
  <sheetViews>
    <sheetView workbookViewId="0">
      <selection activeCell="I2" sqref="I2"/>
    </sheetView>
  </sheetViews>
  <sheetFormatPr defaultRowHeight="15" x14ac:dyDescent="0.25"/>
  <cols>
    <col min="1" max="1" width="1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t="str">
        <f>A2</f>
        <v>Transformer</v>
      </c>
      <c r="J1" t="str">
        <f>A3</f>
        <v>ViterbiNet</v>
      </c>
    </row>
    <row r="2" spans="1:10" x14ac:dyDescent="0.25">
      <c r="A2" t="s">
        <v>5</v>
      </c>
      <c r="B2">
        <v>0</v>
      </c>
      <c r="C2">
        <v>0.19488884528477901</v>
      </c>
      <c r="D2">
        <v>6960</v>
      </c>
      <c r="E2">
        <v>171.763641834259</v>
      </c>
      <c r="H2" cm="1">
        <f t="array" ref="H2:H15">_xlfn._xlws.FILTER($B$2:$B$29,$A$2:$A$29=I1)</f>
        <v>0</v>
      </c>
      <c r="I2" cm="1">
        <f t="array" ref="I2:I15">_xlfn._xlws.FILTER($C$2:$C$29,$A$2:$A$29=I1)</f>
        <v>0.19488884528477901</v>
      </c>
      <c r="J2" cm="1">
        <f t="array" ref="J2:J15">_xlfn._xlws.FILTER($C$2:$C$29,$A$2:$A$29=J1)</f>
        <v>0.185222177505493</v>
      </c>
    </row>
    <row r="3" spans="1:10" x14ac:dyDescent="0.25">
      <c r="A3" t="s">
        <v>6</v>
      </c>
      <c r="B3">
        <v>0</v>
      </c>
      <c r="C3">
        <v>0.185222177505493</v>
      </c>
      <c r="D3">
        <v>7002</v>
      </c>
      <c r="E3">
        <v>74.795207023620605</v>
      </c>
      <c r="H3">
        <v>1</v>
      </c>
      <c r="I3">
        <v>0.15899995247522899</v>
      </c>
      <c r="J3">
        <v>0.14888884862263899</v>
      </c>
    </row>
    <row r="4" spans="1:10" x14ac:dyDescent="0.25">
      <c r="A4" t="s">
        <v>5</v>
      </c>
      <c r="B4">
        <v>1</v>
      </c>
      <c r="C4">
        <v>0.15899995247522899</v>
      </c>
      <c r="D4">
        <v>6960</v>
      </c>
      <c r="E4">
        <v>170.17231369018501</v>
      </c>
      <c r="H4">
        <v>2</v>
      </c>
      <c r="I4">
        <v>0.13988884766896501</v>
      </c>
      <c r="J4">
        <v>0.125222181479136</v>
      </c>
    </row>
    <row r="5" spans="1:10" x14ac:dyDescent="0.25">
      <c r="A5" t="s">
        <v>6</v>
      </c>
      <c r="B5">
        <v>1</v>
      </c>
      <c r="C5">
        <v>0.14888884862263899</v>
      </c>
      <c r="D5">
        <v>7002</v>
      </c>
      <c r="E5">
        <v>71.568311691284094</v>
      </c>
      <c r="H5">
        <v>3</v>
      </c>
      <c r="I5">
        <v>0.112444403171539</v>
      </c>
      <c r="J5">
        <v>9.9777736663818298E-2</v>
      </c>
    </row>
    <row r="6" spans="1:10" x14ac:dyDescent="0.25">
      <c r="A6" t="s">
        <v>5</v>
      </c>
      <c r="B6">
        <v>2</v>
      </c>
      <c r="C6">
        <v>0.13988884766896501</v>
      </c>
      <c r="D6">
        <v>6960</v>
      </c>
      <c r="E6">
        <v>180.69240188598599</v>
      </c>
      <c r="H6">
        <v>4</v>
      </c>
      <c r="I6">
        <v>8.9444400469462004E-2</v>
      </c>
      <c r="J6">
        <v>7.9333287874857494E-2</v>
      </c>
    </row>
    <row r="7" spans="1:10" x14ac:dyDescent="0.25">
      <c r="A7" t="s">
        <v>6</v>
      </c>
      <c r="B7">
        <v>2</v>
      </c>
      <c r="C7">
        <v>0.125222181479136</v>
      </c>
      <c r="D7">
        <v>7002</v>
      </c>
      <c r="E7">
        <v>78.480406761169405</v>
      </c>
      <c r="H7">
        <v>5</v>
      </c>
      <c r="I7">
        <v>6.9888842105865406E-2</v>
      </c>
      <c r="J7">
        <v>5.6999956766764302E-2</v>
      </c>
    </row>
    <row r="8" spans="1:10" x14ac:dyDescent="0.25">
      <c r="A8" t="s">
        <v>5</v>
      </c>
      <c r="B8">
        <v>3</v>
      </c>
      <c r="C8">
        <v>0.112444403171539</v>
      </c>
      <c r="D8">
        <v>6960</v>
      </c>
      <c r="E8">
        <v>171.16487765312101</v>
      </c>
      <c r="H8">
        <v>6</v>
      </c>
      <c r="I8">
        <v>4.7666624387105297E-2</v>
      </c>
      <c r="J8">
        <v>3.7777737776438398E-2</v>
      </c>
    </row>
    <row r="9" spans="1:10" x14ac:dyDescent="0.25">
      <c r="A9" t="s">
        <v>6</v>
      </c>
      <c r="B9">
        <v>3</v>
      </c>
      <c r="C9">
        <v>9.9777736663818298E-2</v>
      </c>
      <c r="D9">
        <v>7002</v>
      </c>
      <c r="E9">
        <v>76.088187932968097</v>
      </c>
      <c r="H9">
        <v>7</v>
      </c>
      <c r="I9">
        <v>3.5555517673492402E-2</v>
      </c>
      <c r="J9">
        <v>2.3333295186360601E-2</v>
      </c>
    </row>
    <row r="10" spans="1:10" x14ac:dyDescent="0.25">
      <c r="A10" t="s">
        <v>5</v>
      </c>
      <c r="B10">
        <v>4</v>
      </c>
      <c r="C10">
        <v>8.9444400469462004E-2</v>
      </c>
      <c r="D10">
        <v>6960</v>
      </c>
      <c r="E10">
        <v>171.15431880950899</v>
      </c>
      <c r="H10">
        <v>8</v>
      </c>
      <c r="I10">
        <v>2.1777748266855801E-2</v>
      </c>
      <c r="J10">
        <v>1.2777752081553099E-2</v>
      </c>
    </row>
    <row r="11" spans="1:10" x14ac:dyDescent="0.25">
      <c r="A11" t="s">
        <v>6</v>
      </c>
      <c r="B11">
        <v>4</v>
      </c>
      <c r="C11">
        <v>7.9333287874857494E-2</v>
      </c>
      <c r="D11">
        <v>7002</v>
      </c>
      <c r="E11">
        <v>75.9234459400177</v>
      </c>
      <c r="H11">
        <v>9</v>
      </c>
      <c r="I11">
        <v>1.44444290796915E-2</v>
      </c>
      <c r="J11">
        <v>6.6666452089945401E-3</v>
      </c>
    </row>
    <row r="12" spans="1:10" x14ac:dyDescent="0.25">
      <c r="A12" t="s">
        <v>5</v>
      </c>
      <c r="B12">
        <v>5</v>
      </c>
      <c r="C12">
        <v>6.9888842105865406E-2</v>
      </c>
      <c r="D12">
        <v>6960</v>
      </c>
      <c r="E12">
        <v>169.23694276809599</v>
      </c>
      <c r="H12">
        <v>10</v>
      </c>
      <c r="I12">
        <v>5.22221485773722E-3</v>
      </c>
      <c r="J12">
        <v>2.11110194524129E-3</v>
      </c>
    </row>
    <row r="13" spans="1:10" x14ac:dyDescent="0.25">
      <c r="A13" t="s">
        <v>6</v>
      </c>
      <c r="B13">
        <v>5</v>
      </c>
      <c r="C13">
        <v>5.6999956766764302E-2</v>
      </c>
      <c r="D13">
        <v>7002</v>
      </c>
      <c r="E13">
        <v>75.557519435882497</v>
      </c>
      <c r="H13">
        <v>11</v>
      </c>
      <c r="I13">
        <v>2.99999515215555E-3</v>
      </c>
      <c r="J13">
        <v>1.11110687255859E-3</v>
      </c>
    </row>
    <row r="14" spans="1:10" x14ac:dyDescent="0.25">
      <c r="A14" t="s">
        <v>5</v>
      </c>
      <c r="B14">
        <v>6</v>
      </c>
      <c r="C14">
        <v>4.7666624387105297E-2</v>
      </c>
      <c r="D14">
        <v>6960</v>
      </c>
      <c r="E14">
        <v>174.65271162986701</v>
      </c>
      <c r="H14">
        <v>12</v>
      </c>
      <c r="I14">
        <v>6.6666364669799795E-4</v>
      </c>
      <c r="J14">
        <v>5.5555264155069902E-4</v>
      </c>
    </row>
    <row r="15" spans="1:10" x14ac:dyDescent="0.25">
      <c r="A15" t="s">
        <v>6</v>
      </c>
      <c r="B15">
        <v>6</v>
      </c>
      <c r="C15">
        <v>3.7777737776438398E-2</v>
      </c>
      <c r="D15">
        <v>7002</v>
      </c>
      <c r="E15">
        <v>74.496686697006197</v>
      </c>
      <c r="H15">
        <v>13</v>
      </c>
      <c r="I15">
        <v>4.4444243113199802E-4</v>
      </c>
      <c r="J15">
        <v>1.11110210418701E-4</v>
      </c>
    </row>
    <row r="16" spans="1:10" x14ac:dyDescent="0.25">
      <c r="A16" t="s">
        <v>5</v>
      </c>
      <c r="B16">
        <v>7</v>
      </c>
      <c r="C16">
        <v>3.5555517673492402E-2</v>
      </c>
      <c r="D16">
        <v>6960</v>
      </c>
      <c r="E16">
        <v>172.54582405090301</v>
      </c>
    </row>
    <row r="17" spans="1:5" x14ac:dyDescent="0.25">
      <c r="A17" t="s">
        <v>6</v>
      </c>
      <c r="B17">
        <v>7</v>
      </c>
      <c r="C17">
        <v>2.3333295186360601E-2</v>
      </c>
      <c r="D17">
        <v>7002</v>
      </c>
      <c r="E17">
        <v>75.908300161361694</v>
      </c>
    </row>
    <row r="18" spans="1:5" x14ac:dyDescent="0.25">
      <c r="A18" t="s">
        <v>5</v>
      </c>
      <c r="B18">
        <v>8</v>
      </c>
      <c r="C18">
        <v>2.1777748266855801E-2</v>
      </c>
      <c r="D18">
        <v>6960</v>
      </c>
      <c r="E18">
        <v>173.99183106422399</v>
      </c>
    </row>
    <row r="19" spans="1:5" x14ac:dyDescent="0.25">
      <c r="A19" t="s">
        <v>6</v>
      </c>
      <c r="B19">
        <v>8</v>
      </c>
      <c r="C19">
        <v>1.2777752081553099E-2</v>
      </c>
      <c r="D19">
        <v>7002</v>
      </c>
      <c r="E19">
        <v>75.799731969833303</v>
      </c>
    </row>
    <row r="20" spans="1:5" x14ac:dyDescent="0.25">
      <c r="A20" t="s">
        <v>5</v>
      </c>
      <c r="B20">
        <v>9</v>
      </c>
      <c r="C20">
        <v>1.44444290796915E-2</v>
      </c>
      <c r="D20">
        <v>6960</v>
      </c>
      <c r="E20">
        <v>173.822236299514</v>
      </c>
    </row>
    <row r="21" spans="1:5" x14ac:dyDescent="0.25">
      <c r="A21" t="s">
        <v>6</v>
      </c>
      <c r="B21">
        <v>9</v>
      </c>
      <c r="C21">
        <v>6.6666452089945401E-3</v>
      </c>
      <c r="D21">
        <v>7002</v>
      </c>
      <c r="E21">
        <v>76.608642816543494</v>
      </c>
    </row>
    <row r="22" spans="1:5" x14ac:dyDescent="0.25">
      <c r="A22" t="s">
        <v>5</v>
      </c>
      <c r="B22">
        <v>10</v>
      </c>
      <c r="C22">
        <v>5.22221485773722E-3</v>
      </c>
      <c r="D22">
        <v>6960</v>
      </c>
      <c r="E22">
        <v>170.81713843345599</v>
      </c>
    </row>
    <row r="23" spans="1:5" x14ac:dyDescent="0.25">
      <c r="A23" t="s">
        <v>6</v>
      </c>
      <c r="B23">
        <v>10</v>
      </c>
      <c r="C23">
        <v>2.11110194524129E-3</v>
      </c>
      <c r="D23">
        <v>7002</v>
      </c>
      <c r="E23">
        <v>74.674004316329899</v>
      </c>
    </row>
    <row r="24" spans="1:5" x14ac:dyDescent="0.25">
      <c r="A24" t="s">
        <v>5</v>
      </c>
      <c r="B24">
        <v>11</v>
      </c>
      <c r="C24">
        <v>2.99999515215555E-3</v>
      </c>
      <c r="D24">
        <v>6960</v>
      </c>
      <c r="E24">
        <v>177.32655143737699</v>
      </c>
    </row>
    <row r="25" spans="1:5" x14ac:dyDescent="0.25">
      <c r="A25" t="s">
        <v>6</v>
      </c>
      <c r="B25">
        <v>11</v>
      </c>
      <c r="C25">
        <v>1.11110687255859E-3</v>
      </c>
      <c r="D25">
        <v>7002</v>
      </c>
      <c r="E25">
        <v>80.118097066879201</v>
      </c>
    </row>
    <row r="26" spans="1:5" x14ac:dyDescent="0.25">
      <c r="A26" t="s">
        <v>5</v>
      </c>
      <c r="B26">
        <v>12</v>
      </c>
      <c r="C26">
        <v>6.6666364669799795E-4</v>
      </c>
      <c r="D26">
        <v>6960</v>
      </c>
      <c r="E26">
        <v>188.14384126663199</v>
      </c>
    </row>
    <row r="27" spans="1:5" x14ac:dyDescent="0.25">
      <c r="A27" t="s">
        <v>6</v>
      </c>
      <c r="B27">
        <v>12</v>
      </c>
      <c r="C27">
        <v>5.5555264155069902E-4</v>
      </c>
      <c r="D27">
        <v>7002</v>
      </c>
      <c r="E27">
        <v>96.538897275924597</v>
      </c>
    </row>
    <row r="28" spans="1:5" x14ac:dyDescent="0.25">
      <c r="A28" t="s">
        <v>5</v>
      </c>
      <c r="B28">
        <v>13</v>
      </c>
      <c r="C28">
        <v>4.4444243113199802E-4</v>
      </c>
      <c r="D28">
        <v>6960</v>
      </c>
      <c r="E28">
        <v>64.766091108322101</v>
      </c>
    </row>
    <row r="29" spans="1:5" x14ac:dyDescent="0.25">
      <c r="A29" t="s">
        <v>6</v>
      </c>
      <c r="B29">
        <v>13</v>
      </c>
      <c r="C29">
        <v>1.11110210418701E-4</v>
      </c>
      <c r="D29">
        <v>7002</v>
      </c>
      <c r="E29">
        <v>106.00759434699999</v>
      </c>
    </row>
    <row r="30" spans="1:5" x14ac:dyDescent="0.25">
      <c r="A30" t="s">
        <v>5</v>
      </c>
      <c r="B30">
        <v>14</v>
      </c>
      <c r="C30">
        <v>0</v>
      </c>
      <c r="D30">
        <v>6960</v>
      </c>
      <c r="E30">
        <v>58.0282366275787</v>
      </c>
    </row>
    <row r="31" spans="1:5" x14ac:dyDescent="0.25">
      <c r="A31" t="s">
        <v>6</v>
      </c>
      <c r="B31">
        <v>14</v>
      </c>
      <c r="C31">
        <v>0</v>
      </c>
      <c r="D31">
        <v>7002</v>
      </c>
      <c r="E31">
        <v>50.965925931930499</v>
      </c>
    </row>
    <row r="32" spans="1:5" x14ac:dyDescent="0.25">
      <c r="A32" t="s">
        <v>5</v>
      </c>
      <c r="B32">
        <v>15</v>
      </c>
      <c r="C32">
        <v>0</v>
      </c>
      <c r="D32">
        <v>6960</v>
      </c>
      <c r="E32">
        <v>85.741819620132404</v>
      </c>
    </row>
    <row r="33" spans="1:5" x14ac:dyDescent="0.25">
      <c r="A33" t="s">
        <v>6</v>
      </c>
      <c r="B33">
        <v>15</v>
      </c>
      <c r="C33">
        <v>0</v>
      </c>
      <c r="D33">
        <v>7002</v>
      </c>
      <c r="E33">
        <v>81.705492496490393</v>
      </c>
    </row>
    <row r="34" spans="1:5" x14ac:dyDescent="0.25">
      <c r="A34" t="s">
        <v>5</v>
      </c>
      <c r="B34">
        <v>16</v>
      </c>
      <c r="C34">
        <v>0</v>
      </c>
      <c r="D34">
        <v>6960</v>
      </c>
      <c r="E34">
        <v>119.382519960403</v>
      </c>
    </row>
    <row r="35" spans="1:5" x14ac:dyDescent="0.25">
      <c r="A35" t="s">
        <v>6</v>
      </c>
      <c r="B35">
        <v>16</v>
      </c>
      <c r="C35">
        <v>0</v>
      </c>
      <c r="D35">
        <v>7002</v>
      </c>
      <c r="E35">
        <v>122.48407554626399</v>
      </c>
    </row>
    <row r="36" spans="1:5" x14ac:dyDescent="0.25">
      <c r="A36" t="s">
        <v>5</v>
      </c>
      <c r="B36">
        <v>17</v>
      </c>
      <c r="C36">
        <v>0</v>
      </c>
      <c r="D36">
        <v>6960</v>
      </c>
      <c r="E36">
        <v>26.343666791915801</v>
      </c>
    </row>
    <row r="37" spans="1:5" x14ac:dyDescent="0.25">
      <c r="A37" t="s">
        <v>6</v>
      </c>
      <c r="B37">
        <v>17</v>
      </c>
      <c r="C37">
        <v>0</v>
      </c>
      <c r="D37">
        <v>7002</v>
      </c>
      <c r="E37">
        <v>24.925009250640802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E52B-E00F-4612-8E59-82A63E02C1F5}">
  <dimension ref="A1:BW2301"/>
  <sheetViews>
    <sheetView tabSelected="1" topLeftCell="F1" workbookViewId="0">
      <selection activeCell="V7" sqref="V7"/>
    </sheetView>
  </sheetViews>
  <sheetFormatPr defaultRowHeight="15" x14ac:dyDescent="0.25"/>
  <cols>
    <col min="9" max="11" width="12" bestFit="1" customWidth="1"/>
    <col min="12" max="12" width="9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s="2" t="str">
        <f>A2</f>
        <v>Transformer</v>
      </c>
      <c r="J1" s="2" t="str">
        <f>A3</f>
        <v>ViterbiNet</v>
      </c>
      <c r="K1" s="2" t="str" cm="1">
        <f t="array" ref="K1:L1">I1:J1</f>
        <v>Transformer</v>
      </c>
      <c r="L1" s="2" t="str">
        <v>ViterbiNet</v>
      </c>
    </row>
    <row r="2" spans="1:12" x14ac:dyDescent="0.25">
      <c r="A2" t="s">
        <v>5</v>
      </c>
      <c r="B2">
        <v>0</v>
      </c>
      <c r="C2">
        <v>0.188555514613787</v>
      </c>
      <c r="D2">
        <v>6960</v>
      </c>
      <c r="E2">
        <v>131.534512758255</v>
      </c>
      <c r="H2" cm="1">
        <f t="array" ref="H2:H18">_xlfn.UNIQUE(_xlfn._xlws.FILTER($B$2:$B$37,$A$2:$A$37=I1))</f>
        <v>0</v>
      </c>
      <c r="I2" s="1" cm="1">
        <f t="array" ref="I2">AVERAGE(_xlfn._xlws.FILTER($C:$C,($A:$A=I$1)*($B:$B=$H2)*($C:$C&gt;0)))</f>
        <v>0.18706654256757513</v>
      </c>
      <c r="J2" s="1" cm="1">
        <f t="array" ref="J2">AVERAGE(_xlfn._xlws.FILTER($C:$C,($A:$A=J$1)*($B:$B=$H2)*($C:$C&gt;0)))</f>
        <v>0.18037577530332577</v>
      </c>
      <c r="K2" cm="1">
        <f t="array" ref="K2">COUNTA(_xlfn._xlws.FILTER($C:$C,($A:$A=I$1)*($B:$B=$H2)*($C:$C&gt;0)))</f>
        <v>68</v>
      </c>
      <c r="L2" cm="1">
        <f t="array" ref="L2">COUNTA(_xlfn._xlws.FILTER($C:$C,($A:$A=J$1)*($B:$B=$H2)*($C:$C&gt;0)))</f>
        <v>68</v>
      </c>
    </row>
    <row r="3" spans="1:12" x14ac:dyDescent="0.25">
      <c r="A3" t="s">
        <v>6</v>
      </c>
      <c r="B3">
        <v>0</v>
      </c>
      <c r="C3">
        <v>0.17986106892426801</v>
      </c>
      <c r="D3">
        <v>7002</v>
      </c>
      <c r="E3">
        <v>72.332807064056396</v>
      </c>
      <c r="H3">
        <v>1</v>
      </c>
      <c r="I3" s="1" cm="1">
        <f t="array" ref="I3">AVERAGE(_xlfn._xlws.FILTER($C:$C,($A:$A=I$1)*($B:$B=$H3)*($C:$C&gt;0)))</f>
        <v>0.1640551053776455</v>
      </c>
      <c r="J3" s="1" cm="1">
        <f t="array" ref="J3">AVERAGE(_xlfn._xlws.FILTER($C:$C,($A:$A=J$1)*($B:$B=$H3)*($C:$C&gt;0)))</f>
        <v>0.1572140110824618</v>
      </c>
      <c r="K3" cm="1">
        <f t="array" ref="K3">COUNTA(_xlfn._xlws.FILTER($C:$C,($A:$A=I$1)*($B:$B=$H3)*($C:$C&gt;0)))</f>
        <v>68</v>
      </c>
      <c r="L3" cm="1">
        <f t="array" ref="L3">COUNTA(_xlfn._xlws.FILTER($C:$C,($A:$A=J$1)*($B:$B=$H3)*($C:$C&gt;0)))</f>
        <v>68</v>
      </c>
    </row>
    <row r="4" spans="1:12" x14ac:dyDescent="0.25">
      <c r="A4" t="s">
        <v>5</v>
      </c>
      <c r="B4">
        <v>1</v>
      </c>
      <c r="C4">
        <v>0.16438884774843801</v>
      </c>
      <c r="D4">
        <v>6960</v>
      </c>
      <c r="E4">
        <v>121.782157421112</v>
      </c>
      <c r="H4">
        <v>2</v>
      </c>
      <c r="I4" s="1" cm="1">
        <f t="array" ref="I4">AVERAGE(_xlfn._xlws.FILTER($C:$C,($A:$A=I$1)*($B:$B=$H4)*($C:$C&gt;0)))</f>
        <v>0.14180796519506161</v>
      </c>
      <c r="J4" s="1" cm="1">
        <f t="array" ref="J4">AVERAGE(_xlfn._xlws.FILTER($C:$C,($A:$A=J$1)*($B:$B=$H4)*($C:$C&gt;0)))</f>
        <v>0.13304571049470479</v>
      </c>
      <c r="K4" cm="1">
        <f t="array" ref="K4">COUNTA(_xlfn._xlws.FILTER($C:$C,($A:$A=I$1)*($B:$B=$H4)*($C:$C&gt;0)))</f>
        <v>68</v>
      </c>
      <c r="L4" cm="1">
        <f t="array" ref="L4">COUNTA(_xlfn._xlws.FILTER($C:$C,($A:$A=J$1)*($B:$B=$H4)*($C:$C&gt;0)))</f>
        <v>68</v>
      </c>
    </row>
    <row r="5" spans="1:12" x14ac:dyDescent="0.25">
      <c r="A5" t="s">
        <v>6</v>
      </c>
      <c r="B5">
        <v>1</v>
      </c>
      <c r="C5">
        <v>0.157249958713849</v>
      </c>
      <c r="D5">
        <v>7002</v>
      </c>
      <c r="E5">
        <v>65.167040586471501</v>
      </c>
      <c r="H5">
        <v>3</v>
      </c>
      <c r="I5" s="1" cm="1">
        <f t="array" ref="I5">AVERAGE(_xlfn._xlws.FILTER($C:$C,($A:$A=I$1)*($B:$B=$H5)*($C:$C&gt;0)))</f>
        <v>0.12018214926123566</v>
      </c>
      <c r="J5" s="1" cm="1">
        <f t="array" ref="J5">AVERAGE(_xlfn._xlws.FILTER($C:$C,($A:$A=J$1)*($B:$B=$H5)*($C:$C&gt;0)))</f>
        <v>0.10972749034271467</v>
      </c>
      <c r="K5" cm="1">
        <f t="array" ref="K5">COUNTA(_xlfn._xlws.FILTER($C:$C,($A:$A=I$1)*($B:$B=$H5)*($C:$C&gt;0)))</f>
        <v>68</v>
      </c>
      <c r="L5" cm="1">
        <f t="array" ref="L5">COUNTA(_xlfn._xlws.FILTER($C:$C,($A:$A=J$1)*($B:$B=$H5)*($C:$C&gt;0)))</f>
        <v>68</v>
      </c>
    </row>
    <row r="6" spans="1:12" x14ac:dyDescent="0.25">
      <c r="A6" t="s">
        <v>5</v>
      </c>
      <c r="B6">
        <v>2</v>
      </c>
      <c r="C6">
        <v>0.13955551445484099</v>
      </c>
      <c r="D6">
        <v>6960</v>
      </c>
      <c r="E6">
        <v>114.831970214843</v>
      </c>
      <c r="H6">
        <v>4</v>
      </c>
      <c r="I6" s="1" cm="1">
        <f t="array" ref="I6">AVERAGE(_xlfn._xlws.FILTER($C:$C,($A:$A=I$1)*($B:$B=$H6)*($C:$C&gt;0)))</f>
        <v>9.9580431624370233E-2</v>
      </c>
      <c r="J6" s="1" cm="1">
        <f t="array" ref="J6">AVERAGE(_xlfn._xlws.FILTER($C:$C,($A:$A=J$1)*($B:$B=$H6)*($C:$C&gt;0)))</f>
        <v>8.6953387760064116E-2</v>
      </c>
      <c r="K6" cm="1">
        <f t="array" ref="K6">COUNTA(_xlfn._xlws.FILTER($C:$C,($A:$A=I$1)*($B:$B=$H6)*($C:$C&gt;0)))</f>
        <v>68</v>
      </c>
      <c r="L6" cm="1">
        <f t="array" ref="L6">COUNTA(_xlfn._xlws.FILTER($C:$C,($A:$A=J$1)*($B:$B=$H6)*($C:$C&gt;0)))</f>
        <v>68</v>
      </c>
    </row>
    <row r="7" spans="1:12" x14ac:dyDescent="0.25">
      <c r="A7" t="s">
        <v>6</v>
      </c>
      <c r="B7">
        <v>2</v>
      </c>
      <c r="C7">
        <v>0.13194440305232999</v>
      </c>
      <c r="D7">
        <v>7002</v>
      </c>
      <c r="E7">
        <v>65.316717147827106</v>
      </c>
      <c r="H7">
        <v>5</v>
      </c>
      <c r="I7" s="1" cm="1">
        <f t="array" ref="I7">AVERAGE(_xlfn._xlws.FILTER($C:$C,($A:$A=I$1)*($B:$B=$H7)*($C:$C&gt;0)))</f>
        <v>7.9751181792394737E-2</v>
      </c>
      <c r="J7" s="1" cm="1">
        <f t="array" ref="J7">AVERAGE(_xlfn._xlws.FILTER($C:$C,($A:$A=J$1)*($B:$B=$H7)*($C:$C&gt;0)))</f>
        <v>6.6470136402868696E-2</v>
      </c>
      <c r="K7" cm="1">
        <f t="array" ref="K7">COUNTA(_xlfn._xlws.FILTER($C:$C,($A:$A=I$1)*($B:$B=$H7)*($C:$C&gt;0)))</f>
        <v>68</v>
      </c>
      <c r="L7" cm="1">
        <f t="array" ref="L7">COUNTA(_xlfn._xlws.FILTER($C:$C,($A:$A=J$1)*($B:$B=$H7)*($C:$C&gt;0)))</f>
        <v>68</v>
      </c>
    </row>
    <row r="8" spans="1:12" x14ac:dyDescent="0.25">
      <c r="A8" t="s">
        <v>5</v>
      </c>
      <c r="B8">
        <v>3</v>
      </c>
      <c r="C8">
        <v>0.118638848066329</v>
      </c>
      <c r="D8">
        <v>6960</v>
      </c>
      <c r="E8">
        <v>114.108443975448</v>
      </c>
      <c r="H8">
        <v>6</v>
      </c>
      <c r="I8" s="1" cm="1">
        <f t="array" ref="I8">AVERAGE(_xlfn._xlws.FILTER($C:$C,($A:$A=I$1)*($B:$B=$H8)*($C:$C&gt;0)))</f>
        <v>6.2890071196883279E-2</v>
      </c>
      <c r="J8" s="1" cm="1">
        <f t="array" ref="J8">AVERAGE(_xlfn._xlws.FILTER($C:$C,($A:$A=J$1)*($B:$B=$H8)*($C:$C&gt;0)))</f>
        <v>4.8942769359724164E-2</v>
      </c>
      <c r="K8" cm="1">
        <f t="array" ref="K8">COUNTA(_xlfn._xlws.FILTER($C:$C,($A:$A=I$1)*($B:$B=$H8)*($C:$C&gt;0)))</f>
        <v>68</v>
      </c>
      <c r="L8" cm="1">
        <f t="array" ref="L8">COUNTA(_xlfn._xlws.FILTER($C:$C,($A:$A=J$1)*($B:$B=$H8)*($C:$C&gt;0)))</f>
        <v>68</v>
      </c>
    </row>
    <row r="9" spans="1:12" x14ac:dyDescent="0.25">
      <c r="A9" t="s">
        <v>6</v>
      </c>
      <c r="B9">
        <v>3</v>
      </c>
      <c r="C9">
        <v>0.11030551294485701</v>
      </c>
      <c r="D9">
        <v>7002</v>
      </c>
      <c r="E9">
        <v>64.902760267257605</v>
      </c>
      <c r="H9">
        <v>8</v>
      </c>
      <c r="I9" s="1" cm="1">
        <f t="array" ref="I9">AVERAGE(_xlfn._xlws.FILTER($C:$C,($A:$A=I$1)*($B:$B=$H9)*($C:$C&gt;0)))</f>
        <v>3.4199719221568503E-2</v>
      </c>
      <c r="J9" s="1" cm="1">
        <f t="array" ref="J9">AVERAGE(_xlfn._xlws.FILTER($C:$C,($A:$A=J$1)*($B:$B=$H9)*($C:$C&gt;0)))</f>
        <v>2.4284690820118908E-2</v>
      </c>
      <c r="K9" cm="1">
        <f t="array" ref="K9">COUNTA(_xlfn._xlws.FILTER($C:$C,($A:$A=I$1)*($B:$B=$H9)*($C:$C&gt;0)))</f>
        <v>68</v>
      </c>
      <c r="L9" cm="1">
        <f t="array" ref="L9">COUNTA(_xlfn._xlws.FILTER($C:$C,($A:$A=J$1)*($B:$B=$H9)*($C:$C&gt;0)))</f>
        <v>68</v>
      </c>
    </row>
    <row r="10" spans="1:12" x14ac:dyDescent="0.25">
      <c r="A10" t="s">
        <v>5</v>
      </c>
      <c r="B10">
        <v>4</v>
      </c>
      <c r="C10">
        <v>9.7833291689554805E-2</v>
      </c>
      <c r="D10">
        <v>6960</v>
      </c>
      <c r="E10">
        <v>113.976683855056</v>
      </c>
      <c r="H10">
        <v>9</v>
      </c>
      <c r="I10" s="1" cm="1">
        <f t="array" ref="I10">AVERAGE(_xlfn._xlws.FILTER($C:$C,($A:$A=I$1)*($B:$B=$H10)*($C:$C&gt;0)))</f>
        <v>2.2815332392267108E-2</v>
      </c>
      <c r="J10" s="1" cm="1">
        <f t="array" ref="J10">AVERAGE(_xlfn._xlws.FILTER($C:$C,($A:$A=J$1)*($B:$B=$H10)*($C:$C&gt;0)))</f>
        <v>1.5843112781351643E-2</v>
      </c>
      <c r="K10" cm="1">
        <f t="array" ref="K10">COUNTA(_xlfn._xlws.FILTER($C:$C,($A:$A=I$1)*($B:$B=$H10)*($C:$C&gt;0)))</f>
        <v>68</v>
      </c>
      <c r="L10" cm="1">
        <f t="array" ref="L10">COUNTA(_xlfn._xlws.FILTER($C:$C,($A:$A=J$1)*($B:$B=$H10)*($C:$C&gt;0)))</f>
        <v>68</v>
      </c>
    </row>
    <row r="11" spans="1:12" x14ac:dyDescent="0.25">
      <c r="A11" t="s">
        <v>6</v>
      </c>
      <c r="B11">
        <v>4</v>
      </c>
      <c r="C11">
        <v>8.7083290616671194E-2</v>
      </c>
      <c r="D11">
        <v>7002</v>
      </c>
      <c r="E11">
        <v>64.823184728622394</v>
      </c>
      <c r="H11">
        <v>10</v>
      </c>
      <c r="I11" s="1" cm="1">
        <f t="array" ref="I11">AVERAGE(_xlfn._xlws.FILTER($C:$C,($A:$A=I$1)*($B:$B=$H11)*($C:$C&gt;0)))</f>
        <v>1.2838218781877913E-2</v>
      </c>
      <c r="J11" s="1" cm="1">
        <f t="array" ref="J11">AVERAGE(_xlfn._xlws.FILTER($C:$C,($A:$A=J$1)*($B:$B=$H11)*($C:$C&gt;0)))</f>
        <v>1.0158478991658053E-2</v>
      </c>
      <c r="K11" cm="1">
        <f t="array" ref="K11">COUNTA(_xlfn._xlws.FILTER($C:$C,($A:$A=I$1)*($B:$B=$H11)*($C:$C&gt;0)))</f>
        <v>68</v>
      </c>
      <c r="L11" cm="1">
        <f t="array" ref="L11">COUNTA(_xlfn._xlws.FILTER($C:$C,($A:$A=J$1)*($B:$B=$H11)*($C:$C&gt;0)))</f>
        <v>68</v>
      </c>
    </row>
    <row r="12" spans="1:12" x14ac:dyDescent="0.25">
      <c r="A12" t="s">
        <v>5</v>
      </c>
      <c r="B12">
        <v>5</v>
      </c>
      <c r="C12">
        <v>7.9555512269337894E-2</v>
      </c>
      <c r="D12">
        <v>6960</v>
      </c>
      <c r="E12">
        <v>113.686487436294</v>
      </c>
      <c r="H12">
        <v>11</v>
      </c>
      <c r="I12" s="1" cm="1">
        <f t="array" ref="I12">AVERAGE(_xlfn._xlws.FILTER($C:$C,($A:$A=I$1)*($B:$B=$H12)*($C:$C&gt;0)))</f>
        <v>6.460366792538582E-3</v>
      </c>
      <c r="J12" s="1" cm="1">
        <f t="array" ref="J12">AVERAGE(_xlfn._xlws.FILTER($C:$C,($A:$A=J$1)*($B:$B=$H12)*($C:$C&gt;0)))</f>
        <v>6.1143677287241946E-3</v>
      </c>
      <c r="K12" cm="1">
        <f t="array" ref="K12">COUNTA(_xlfn._xlws.FILTER($C:$C,($A:$A=I$1)*($B:$B=$H12)*($C:$C&gt;0)))</f>
        <v>68</v>
      </c>
      <c r="L12" cm="1">
        <f t="array" ref="L12">COUNTA(_xlfn._xlws.FILTER($C:$C,($A:$A=J$1)*($B:$B=$H12)*($C:$C&gt;0)))</f>
        <v>68</v>
      </c>
    </row>
    <row r="13" spans="1:12" x14ac:dyDescent="0.25">
      <c r="A13" t="s">
        <v>6</v>
      </c>
      <c r="B13">
        <v>5</v>
      </c>
      <c r="C13">
        <v>6.5583290259043303E-2</v>
      </c>
      <c r="D13">
        <v>7002</v>
      </c>
      <c r="E13">
        <v>64.824417352676306</v>
      </c>
      <c r="H13">
        <v>12</v>
      </c>
      <c r="I13" s="1" cm="1">
        <f t="array" ref="I13">AVERAGE(_xlfn._xlws.FILTER($C:$C,($A:$A=I$1)*($B:$B=$H13)*($C:$C&gt;0)))</f>
        <v>2.2321636611549369E-3</v>
      </c>
      <c r="J13" s="1" cm="1">
        <f t="array" ref="J13">AVERAGE(_xlfn._xlws.FILTER($C:$C,($A:$A=J$1)*($B:$B=$H13)*($C:$C&gt;0)))</f>
        <v>2.1780570348103791E-3</v>
      </c>
      <c r="K13" cm="1">
        <f t="array" ref="K13">COUNTA(_xlfn._xlws.FILTER($C:$C,($A:$A=I$1)*($B:$B=$H13)*($C:$C&gt;0)))</f>
        <v>67</v>
      </c>
      <c r="L13" cm="1">
        <f t="array" ref="L13">COUNTA(_xlfn._xlws.FILTER($C:$C,($A:$A=J$1)*($B:$B=$H13)*($C:$C&gt;0)))</f>
        <v>67</v>
      </c>
    </row>
    <row r="14" spans="1:12" x14ac:dyDescent="0.25">
      <c r="A14" t="s">
        <v>5</v>
      </c>
      <c r="B14">
        <v>6</v>
      </c>
      <c r="C14">
        <v>6.2861066857973699E-2</v>
      </c>
      <c r="D14">
        <v>6960</v>
      </c>
      <c r="E14">
        <v>113.86649346351599</v>
      </c>
      <c r="H14">
        <v>13</v>
      </c>
      <c r="I14" s="1" cm="1">
        <f t="array" ref="I14">AVERAGE(_xlfn._xlws.FILTER($C:$C,($A:$A=I$1)*($B:$B=$H14)*($C:$C&gt;0)))</f>
        <v>8.9220221066356128E-4</v>
      </c>
      <c r="J14" s="1" cm="1">
        <f t="array" ref="J14">AVERAGE(_xlfn._xlws.FILTER($C:$C,($A:$A=J$1)*($B:$B=$H14)*($C:$C&gt;0)))</f>
        <v>1.0787669728644423E-3</v>
      </c>
      <c r="K14" cm="1">
        <f t="array" ref="K14">COUNTA(_xlfn._xlws.FILTER($C:$C,($A:$A=I$1)*($B:$B=$H14)*($C:$C&gt;0)))</f>
        <v>67</v>
      </c>
      <c r="L14" cm="1">
        <f t="array" ref="L14">COUNTA(_xlfn._xlws.FILTER($C:$C,($A:$A=J$1)*($B:$B=$H14)*($C:$C&gt;0)))</f>
        <v>67</v>
      </c>
    </row>
    <row r="15" spans="1:12" x14ac:dyDescent="0.25">
      <c r="A15" t="s">
        <v>6</v>
      </c>
      <c r="B15">
        <v>6</v>
      </c>
      <c r="C15">
        <v>4.74999580780665E-2</v>
      </c>
      <c r="D15">
        <v>7002</v>
      </c>
      <c r="E15">
        <v>64.883070468902503</v>
      </c>
      <c r="H15">
        <v>14</v>
      </c>
      <c r="I15" s="1" cm="1">
        <f t="array" ref="I15">AVERAGE(_xlfn._xlws.FILTER($C:$C,($A:$A=I$1)*($B:$B=$H15)*($C:$C&gt;0)))</f>
        <v>3.4853415702705917E-4</v>
      </c>
      <c r="J15" s="1" cm="1">
        <f t="array" ref="J15">AVERAGE(_xlfn._xlws.FILTER($C:$C,($A:$A=J$1)*($B:$B=$H15)*($C:$C&gt;0)))</f>
        <v>4.3670343522408662E-4</v>
      </c>
      <c r="K15" cm="1">
        <f t="array" ref="K15">COUNTA(_xlfn._xlws.FILTER($C:$C,($A:$A=I$1)*($B:$B=$H15)*($C:$C&gt;0)))</f>
        <v>67</v>
      </c>
      <c r="L15" cm="1">
        <f t="array" ref="L15">COUNTA(_xlfn._xlws.FILTER($C:$C,($A:$A=J$1)*($B:$B=$H15)*($C:$C&gt;0)))</f>
        <v>67</v>
      </c>
    </row>
    <row r="16" spans="1:12" x14ac:dyDescent="0.25">
      <c r="A16" t="s">
        <v>5</v>
      </c>
      <c r="B16">
        <v>8</v>
      </c>
      <c r="C16">
        <v>3.4777741630872001E-2</v>
      </c>
      <c r="D16">
        <v>6960</v>
      </c>
      <c r="E16">
        <v>113.452323198318</v>
      </c>
      <c r="H16">
        <v>15</v>
      </c>
      <c r="I16" s="1" cm="1">
        <f t="array" ref="I16">AVERAGE(_xlfn._xlws.FILTER($C:$C,($A:$A=I$1)*($B:$B=$H16)*($C:$C&gt;0)))</f>
        <v>1.129073883170509E-4</v>
      </c>
      <c r="J16" s="1" cm="1">
        <f t="array" ref="J16">AVERAGE(_xlfn._xlws.FILTER($C:$C,($A:$A=J$1)*($B:$B=$H16)*($C:$C&gt;0)))</f>
        <v>1.5450451801072261E-4</v>
      </c>
      <c r="K16" cm="1">
        <f t="array" ref="K16">COUNTA(_xlfn._xlws.FILTER($C:$C,($A:$A=I$1)*($B:$B=$H16)*($C:$C&gt;0)))</f>
        <v>67</v>
      </c>
      <c r="L16" cm="1">
        <f t="array" ref="L16">COUNTA(_xlfn._xlws.FILTER($C:$C,($A:$A=J$1)*($B:$B=$H16)*($C:$C&gt;0)))</f>
        <v>67</v>
      </c>
    </row>
    <row r="17" spans="1:75" x14ac:dyDescent="0.25">
      <c r="A17" t="s">
        <v>6</v>
      </c>
      <c r="B17">
        <v>8</v>
      </c>
      <c r="C17">
        <v>2.4249968528747501E-2</v>
      </c>
      <c r="D17">
        <v>7002</v>
      </c>
      <c r="E17">
        <v>64.902443408965993</v>
      </c>
      <c r="H17">
        <v>16</v>
      </c>
      <c r="I17" s="1" cm="1">
        <f t="array" ref="I17">AVERAGE(_xlfn._xlws.FILTER($C:$C,($A:$A=I$1)*($B:$B=$H17)))</f>
        <v>6.7993191937308818E-5</v>
      </c>
      <c r="J17" s="1" cm="1">
        <f t="array" ref="J17">AVERAGE(_xlfn._xlws.FILTER($C:$C,($A:$A=J$1)*($B:$B=$H17)*($C:$C&gt;0)))</f>
        <v>4.7862991308554554E-5</v>
      </c>
      <c r="K17" cm="1">
        <f t="array" ref="K17">COUNTA(_xlfn._xlws.FILTER($C:$C,($A:$A=I$1)*($B:$B=$H17)*($C:$C&gt;0)))</f>
        <v>56</v>
      </c>
      <c r="L17" cm="1">
        <f t="array" ref="L17">COUNTA(_xlfn._xlws.FILTER($C:$C,($A:$A=J$1)*($B:$B=$H17)*($C:$C&gt;0)))</f>
        <v>65</v>
      </c>
    </row>
    <row r="18" spans="1:75" x14ac:dyDescent="0.25">
      <c r="A18" t="s">
        <v>5</v>
      </c>
      <c r="B18">
        <v>9</v>
      </c>
      <c r="C18">
        <v>2.4361082514127001E-2</v>
      </c>
      <c r="D18">
        <v>6960</v>
      </c>
      <c r="E18">
        <v>113.93646717071501</v>
      </c>
      <c r="H18">
        <v>17</v>
      </c>
      <c r="I18" s="1" cm="1">
        <f t="array" ref="I18">AVERAGE(_xlfn._xlws.FILTER($C:$C,($A:$A=I$1)*($B:$B=$H18)))</f>
        <v>3.1370840855498768E-5</v>
      </c>
      <c r="J18" s="1" cm="1">
        <f t="array" ref="J18">AVERAGE(_xlfn._xlws.FILTER($C:$C,($A:$A=J$1)*($B:$B=$H18)*($C:$C&gt;0)))</f>
        <v>3.2763348685370492E-5</v>
      </c>
      <c r="K18" cm="1">
        <f t="array" ref="K18">COUNTA(_xlfn._xlws.FILTER($C:$C,($A:$A=I$1)*($B:$B=$H18)*($C:$C&gt;0)))</f>
        <v>41</v>
      </c>
      <c r="L18" cm="1">
        <f t="array" ref="L18">COUNTA(_xlfn._xlws.FILTER($C:$C,($A:$A=J$1)*($B:$B=$H18)*($C:$C&gt;0)))</f>
        <v>39</v>
      </c>
    </row>
    <row r="19" spans="1:75" x14ac:dyDescent="0.25">
      <c r="A19" t="s">
        <v>6</v>
      </c>
      <c r="B19">
        <v>9</v>
      </c>
      <c r="C19">
        <v>1.5555532574653599E-2</v>
      </c>
      <c r="D19">
        <v>7002</v>
      </c>
      <c r="E19">
        <v>64.949955940246497</v>
      </c>
    </row>
    <row r="20" spans="1:75" x14ac:dyDescent="0.25">
      <c r="A20" t="s">
        <v>5</v>
      </c>
      <c r="B20">
        <v>10</v>
      </c>
      <c r="C20">
        <v>1.49999819199244E-2</v>
      </c>
      <c r="D20">
        <v>6960</v>
      </c>
      <c r="E20">
        <v>113.74188971519401</v>
      </c>
    </row>
    <row r="21" spans="1:75" x14ac:dyDescent="0.25">
      <c r="A21" t="s">
        <v>6</v>
      </c>
      <c r="B21">
        <v>10</v>
      </c>
      <c r="C21">
        <v>8.7777618567148798E-3</v>
      </c>
      <c r="D21">
        <v>7002</v>
      </c>
      <c r="E21">
        <v>65.237363576888995</v>
      </c>
      <c r="H21">
        <v>13</v>
      </c>
    </row>
    <row r="22" spans="1:75" x14ac:dyDescent="0.25">
      <c r="A22" t="s">
        <v>5</v>
      </c>
      <c r="B22">
        <v>11</v>
      </c>
      <c r="C22">
        <v>6.0833249489466298E-3</v>
      </c>
      <c r="D22">
        <v>6960</v>
      </c>
      <c r="E22">
        <v>113.885202646255</v>
      </c>
      <c r="H22" t="str">
        <f>$I$1</f>
        <v>Transformer</v>
      </c>
      <c r="I22" cm="1">
        <f t="array" ref="I22:BW22">TRANSPOSE(_xlfn._xlws.FILTER($C:$C,($A:$A=$H22)*($B:$B=$H21)))</f>
        <v>1.0416630903879801E-3</v>
      </c>
      <c r="J22">
        <v>1.2361071507136E-3</v>
      </c>
      <c r="K22">
        <v>7.9166332880655898E-4</v>
      </c>
      <c r="L22">
        <v>9.4444096088409403E-4</v>
      </c>
      <c r="M22">
        <v>1.2222184737523301E-3</v>
      </c>
      <c r="N22">
        <v>1.1111066738764401E-3</v>
      </c>
      <c r="O22">
        <v>8.3332896232604897E-4</v>
      </c>
      <c r="P22">
        <v>1.11110687255859E-3</v>
      </c>
      <c r="Q22">
        <v>8.0555299917856797E-4</v>
      </c>
      <c r="R22">
        <v>1.0972181955973301E-3</v>
      </c>
      <c r="S22">
        <v>1.26388470331827E-3</v>
      </c>
      <c r="T22">
        <v>9.5832943916320803E-4</v>
      </c>
      <c r="U22">
        <v>1.27777377764383E-3</v>
      </c>
      <c r="V22">
        <v>6.5277496973673499E-4</v>
      </c>
      <c r="W22">
        <v>7.2221954663594502E-4</v>
      </c>
      <c r="X22">
        <v>1.1944401264190601E-3</v>
      </c>
      <c r="Y22">
        <v>4.5833110809326099E-4</v>
      </c>
      <c r="Z22">
        <v>8.1944167613983104E-4</v>
      </c>
      <c r="AA22">
        <v>5.6944171587626101E-4</v>
      </c>
      <c r="AB22">
        <v>8.6110790570576902E-4</v>
      </c>
      <c r="AC22">
        <v>6.2499761581420797E-4</v>
      </c>
      <c r="AD22">
        <v>6.8055252234140999E-4</v>
      </c>
      <c r="AE22">
        <v>8.05552800496419E-4</v>
      </c>
      <c r="AF22">
        <v>1.1111070712407399E-3</v>
      </c>
      <c r="AG22">
        <v>9.9999606609344491E-4</v>
      </c>
      <c r="AH22">
        <v>8.4721903006235698E-4</v>
      </c>
      <c r="AI22">
        <v>1.27777298291524E-3</v>
      </c>
      <c r="AJ22">
        <v>1.1805506547291999E-3</v>
      </c>
      <c r="AK22">
        <v>4.0277600288391103E-4</v>
      </c>
      <c r="AL22">
        <v>5.8333118756612103E-4</v>
      </c>
      <c r="AM22">
        <v>9.1666221618652295E-4</v>
      </c>
      <c r="AN22">
        <v>9.0277393658955802E-4</v>
      </c>
      <c r="AO22">
        <v>1.26388370990753E-3</v>
      </c>
      <c r="AP22">
        <v>8.8888466358184805E-4</v>
      </c>
      <c r="AQ22">
        <v>6.8055252234140999E-4</v>
      </c>
      <c r="AR22">
        <v>9.9999666213989192E-4</v>
      </c>
      <c r="AS22">
        <v>8.3333035310109401E-4</v>
      </c>
      <c r="AT22">
        <v>8.0555260181427004E-4</v>
      </c>
      <c r="AU22">
        <v>6.11108342806498E-4</v>
      </c>
      <c r="AV22">
        <v>1.02777342001597E-3</v>
      </c>
      <c r="AW22">
        <v>1.0555519660313899E-3</v>
      </c>
      <c r="AX22">
        <v>9.9999547004699704E-4</v>
      </c>
      <c r="AY22">
        <v>8.3333055178324298E-4</v>
      </c>
      <c r="AZ22">
        <v>8.6110830307006803E-4</v>
      </c>
      <c r="BA22">
        <v>5.8333059151967305E-4</v>
      </c>
      <c r="BB22">
        <v>8.0555220444997102E-4</v>
      </c>
      <c r="BC22">
        <v>1.08332991600036E-3</v>
      </c>
      <c r="BD22">
        <v>1.0277738173802601E-3</v>
      </c>
      <c r="BE22">
        <v>8.8888585567474304E-4</v>
      </c>
      <c r="BF22">
        <v>1.1666617790857901E-3</v>
      </c>
      <c r="BG22">
        <v>1.0694400469462E-3</v>
      </c>
      <c r="BH22">
        <v>6.6666384538014703E-4</v>
      </c>
      <c r="BI22">
        <v>4.7222038110097199E-4</v>
      </c>
      <c r="BJ22">
        <v>1.2222176790237401E-3</v>
      </c>
      <c r="BK22">
        <v>7.4999690055847096E-4</v>
      </c>
      <c r="BL22">
        <v>8.3333015441894504E-4</v>
      </c>
      <c r="BM22">
        <v>1.3194396098454701E-3</v>
      </c>
      <c r="BN22">
        <v>6.5277477105458504E-4</v>
      </c>
      <c r="BO22">
        <v>7.4999729792276997E-4</v>
      </c>
      <c r="BP22">
        <v>5.2777588367462097E-4</v>
      </c>
      <c r="BQ22">
        <v>9.58329637845357E-4</v>
      </c>
      <c r="BR22">
        <v>7.9166372617085702E-4</v>
      </c>
      <c r="BS22">
        <v>9.861081838607789E-4</v>
      </c>
      <c r="BT22">
        <v>9.0277413527170797E-4</v>
      </c>
      <c r="BU22">
        <v>8.6110750834147098E-4</v>
      </c>
      <c r="BV22">
        <v>8.6110810438791896E-4</v>
      </c>
      <c r="BW22">
        <v>4.30553754170735E-4</v>
      </c>
    </row>
    <row r="23" spans="1:75" x14ac:dyDescent="0.25">
      <c r="A23" t="s">
        <v>6</v>
      </c>
      <c r="B23">
        <v>11</v>
      </c>
      <c r="C23">
        <v>6.9722088177998796E-3</v>
      </c>
      <c r="D23">
        <v>7002</v>
      </c>
      <c r="E23">
        <v>65.133472681045504</v>
      </c>
      <c r="H23" t="str">
        <f>$J$1</f>
        <v>ViterbiNet</v>
      </c>
      <c r="I23" cm="1">
        <f t="array" ref="I23:BW23">TRANSPOSE(_xlfn._xlws.FILTER($C:$C,($A:$A=$H23)*($B:$B=$H21)))</f>
        <v>1.16666038831075E-3</v>
      </c>
      <c r="J23">
        <v>1.6249912977218601E-3</v>
      </c>
      <c r="K23">
        <v>8.1944008668263704E-4</v>
      </c>
      <c r="L23">
        <v>1.26388152440389E-3</v>
      </c>
      <c r="M23">
        <v>6.6666344801584801E-4</v>
      </c>
      <c r="N23">
        <v>1.26388152440389E-3</v>
      </c>
      <c r="O23">
        <v>7.6388478279113697E-4</v>
      </c>
      <c r="P23">
        <v>1.0555495818455999E-3</v>
      </c>
      <c r="Q23">
        <v>7.9166193803151404E-4</v>
      </c>
      <c r="R23">
        <v>1.4166597525278699E-3</v>
      </c>
      <c r="S23">
        <v>1.90276662508646E-3</v>
      </c>
      <c r="T23">
        <v>1.3194370269775299E-3</v>
      </c>
      <c r="U23">
        <v>9.7221672534942595E-4</v>
      </c>
      <c r="V23">
        <v>1.4444357156753499E-3</v>
      </c>
      <c r="W23">
        <v>1.18054966131846E-3</v>
      </c>
      <c r="X23">
        <v>1.08332773049672E-3</v>
      </c>
      <c r="Y23">
        <v>1.70832435290018E-3</v>
      </c>
      <c r="Z23">
        <v>8.8888386885325099E-4</v>
      </c>
      <c r="AA23">
        <v>1.2083270152409801E-3</v>
      </c>
      <c r="AB23">
        <v>8.0555101235707603E-4</v>
      </c>
      <c r="AC23">
        <v>6.3888529936472502E-4</v>
      </c>
      <c r="AD23">
        <v>1.12499356269836E-3</v>
      </c>
      <c r="AE23">
        <v>1.19443813959757E-3</v>
      </c>
      <c r="AF23">
        <v>9.5832804838816299E-4</v>
      </c>
      <c r="AG23">
        <v>1.5694365898768099E-3</v>
      </c>
      <c r="AH23">
        <v>1.0138843456904E-3</v>
      </c>
      <c r="AI23">
        <v>8.0555140972137396E-4</v>
      </c>
      <c r="AJ23">
        <v>1.0277716318766201E-3</v>
      </c>
      <c r="AK23">
        <v>1.2638827164967799E-3</v>
      </c>
      <c r="AL23">
        <v>6.9444060325622497E-4</v>
      </c>
      <c r="AM23">
        <v>7.9166213671366301E-4</v>
      </c>
      <c r="AN23">
        <v>1.0972166061401301E-3</v>
      </c>
      <c r="AO23">
        <v>2.2638785839080799E-3</v>
      </c>
      <c r="AP23">
        <v>8.8888406753539996E-4</v>
      </c>
      <c r="AQ23">
        <v>1.16666058699289E-3</v>
      </c>
      <c r="AR23">
        <v>1.4027692874272601E-3</v>
      </c>
      <c r="AS23">
        <v>9.9999447663624993E-4</v>
      </c>
      <c r="AT23">
        <v>9.861059983571369E-4</v>
      </c>
      <c r="AU23">
        <v>5.9721926848093601E-4</v>
      </c>
      <c r="AV23">
        <v>1.05554938316345E-3</v>
      </c>
      <c r="AW23">
        <v>9.8610520362853995E-4</v>
      </c>
      <c r="AX23">
        <v>9.7221752007802301E-4</v>
      </c>
      <c r="AY23">
        <v>9.3055029710133804E-4</v>
      </c>
      <c r="AZ23">
        <v>1.6666581233342401E-3</v>
      </c>
      <c r="BA23">
        <v>9.1666122277577703E-4</v>
      </c>
      <c r="BB23">
        <v>5.6944131851196199E-4</v>
      </c>
      <c r="BC23">
        <v>6.8055172761281304E-4</v>
      </c>
      <c r="BD23">
        <v>1.12499356269836E-3</v>
      </c>
      <c r="BE23">
        <v>8.8888406753539996E-4</v>
      </c>
      <c r="BF23">
        <v>1.4583257834116601E-3</v>
      </c>
      <c r="BG23">
        <v>9.7221712271372399E-4</v>
      </c>
      <c r="BH23">
        <v>9.7221712271372399E-4</v>
      </c>
      <c r="BI23">
        <v>1.0694390535354601E-3</v>
      </c>
      <c r="BJ23">
        <v>1.8472135066986001E-3</v>
      </c>
      <c r="BK23">
        <v>8.1943949063618905E-4</v>
      </c>
      <c r="BL23">
        <v>9.7221652666727699E-4</v>
      </c>
      <c r="BM23">
        <v>7.77773062388102E-4</v>
      </c>
      <c r="BN23">
        <v>9.44438974062601E-4</v>
      </c>
      <c r="BO23">
        <v>9.8610579967498696E-4</v>
      </c>
      <c r="BP23">
        <v>1.24999245007832E-3</v>
      </c>
      <c r="BQ23">
        <v>1.09721620877583E-3</v>
      </c>
      <c r="BR23">
        <v>7.2221815586089998E-4</v>
      </c>
      <c r="BS23">
        <v>9.4443937142690002E-4</v>
      </c>
      <c r="BT23">
        <v>1.4583265781402501E-3</v>
      </c>
      <c r="BU23">
        <v>1.0555495818455999E-3</v>
      </c>
      <c r="BV23">
        <v>7.4999610582987401E-4</v>
      </c>
      <c r="BW23">
        <v>5.5555244286854995E-4</v>
      </c>
    </row>
    <row r="24" spans="1:75" x14ac:dyDescent="0.25">
      <c r="A24" t="s">
        <v>5</v>
      </c>
      <c r="B24">
        <v>12</v>
      </c>
      <c r="C24">
        <v>1.9722141822179099E-3</v>
      </c>
      <c r="D24">
        <v>6960</v>
      </c>
      <c r="E24">
        <v>128.930702924728</v>
      </c>
    </row>
    <row r="25" spans="1:75" x14ac:dyDescent="0.25">
      <c r="A25" t="s">
        <v>6</v>
      </c>
      <c r="B25">
        <v>12</v>
      </c>
      <c r="C25">
        <v>2.2499883174896202E-3</v>
      </c>
      <c r="D25">
        <v>7002</v>
      </c>
      <c r="E25">
        <v>83.966549396514793</v>
      </c>
      <c r="H25" t="str">
        <f>"SNR"&amp;H21</f>
        <v>SNR13</v>
      </c>
    </row>
    <row r="26" spans="1:75" x14ac:dyDescent="0.25">
      <c r="A26" t="s">
        <v>5</v>
      </c>
      <c r="B26">
        <v>13</v>
      </c>
      <c r="C26">
        <v>1.0416630903879801E-3</v>
      </c>
      <c r="D26">
        <v>6960</v>
      </c>
      <c r="E26">
        <v>130.88262820243801</v>
      </c>
    </row>
    <row r="27" spans="1:75" x14ac:dyDescent="0.25">
      <c r="A27" t="s">
        <v>6</v>
      </c>
      <c r="B27">
        <v>13</v>
      </c>
      <c r="C27">
        <v>1.16666038831075E-3</v>
      </c>
      <c r="D27">
        <v>7002</v>
      </c>
      <c r="E27">
        <v>84.241295576095496</v>
      </c>
    </row>
    <row r="28" spans="1:75" x14ac:dyDescent="0.25">
      <c r="A28" t="s">
        <v>5</v>
      </c>
      <c r="B28">
        <v>14</v>
      </c>
      <c r="C28">
        <v>3.2407343387603701E-4</v>
      </c>
      <c r="D28">
        <v>6960</v>
      </c>
      <c r="E28">
        <v>187.85673809051499</v>
      </c>
    </row>
    <row r="29" spans="1:75" x14ac:dyDescent="0.25">
      <c r="A29" t="s">
        <v>6</v>
      </c>
      <c r="B29">
        <v>14</v>
      </c>
      <c r="C29">
        <v>4.7222018241882302E-4</v>
      </c>
      <c r="D29">
        <v>7002</v>
      </c>
      <c r="E29">
        <v>102.89357113838101</v>
      </c>
    </row>
    <row r="30" spans="1:75" x14ac:dyDescent="0.25">
      <c r="A30" t="s">
        <v>5</v>
      </c>
      <c r="B30">
        <v>15</v>
      </c>
      <c r="C30" s="1">
        <v>5.5555502573648997E-5</v>
      </c>
      <c r="D30">
        <v>6960</v>
      </c>
      <c r="E30">
        <v>167.477098464965</v>
      </c>
    </row>
    <row r="31" spans="1:75" x14ac:dyDescent="0.25">
      <c r="A31" t="s">
        <v>6</v>
      </c>
      <c r="B31">
        <v>15</v>
      </c>
      <c r="C31">
        <v>2.4999876817067402E-4</v>
      </c>
      <c r="D31">
        <v>7002</v>
      </c>
      <c r="E31">
        <v>100.800173044204</v>
      </c>
    </row>
    <row r="32" spans="1:75" x14ac:dyDescent="0.25">
      <c r="A32" t="s">
        <v>5</v>
      </c>
      <c r="B32">
        <v>16</v>
      </c>
      <c r="C32" s="1">
        <v>9.2592438062031999E-5</v>
      </c>
      <c r="D32">
        <v>6960</v>
      </c>
      <c r="E32">
        <v>167.50818324088999</v>
      </c>
    </row>
    <row r="33" spans="1:75" x14ac:dyDescent="0.25">
      <c r="A33" t="s">
        <v>6</v>
      </c>
      <c r="B33">
        <v>16</v>
      </c>
      <c r="C33" s="1">
        <v>1.8518368403116801E-5</v>
      </c>
      <c r="D33">
        <v>7002</v>
      </c>
      <c r="E33">
        <v>100.65045022964399</v>
      </c>
    </row>
    <row r="34" spans="1:75" x14ac:dyDescent="0.25">
      <c r="A34" t="s">
        <v>5</v>
      </c>
      <c r="B34">
        <v>17</v>
      </c>
      <c r="C34">
        <v>0</v>
      </c>
      <c r="D34">
        <v>6960</v>
      </c>
      <c r="E34">
        <v>167.623374462127</v>
      </c>
    </row>
    <row r="35" spans="1:75" x14ac:dyDescent="0.25">
      <c r="A35" t="s">
        <v>6</v>
      </c>
      <c r="B35">
        <v>17</v>
      </c>
      <c r="C35" s="1">
        <v>1.8518368403116801E-5</v>
      </c>
      <c r="D35">
        <v>7002</v>
      </c>
      <c r="E35">
        <v>100.555699110031</v>
      </c>
    </row>
    <row r="36" spans="1:75" x14ac:dyDescent="0.25">
      <c r="A36" t="s">
        <v>5</v>
      </c>
      <c r="B36">
        <v>0</v>
      </c>
      <c r="C36">
        <v>0.186194400389989</v>
      </c>
      <c r="D36">
        <v>6960</v>
      </c>
      <c r="E36">
        <v>113.899802923202</v>
      </c>
    </row>
    <row r="37" spans="1:75" x14ac:dyDescent="0.25">
      <c r="A37" t="s">
        <v>6</v>
      </c>
      <c r="B37">
        <v>0</v>
      </c>
      <c r="C37">
        <v>0.17880551358064001</v>
      </c>
      <c r="D37">
        <v>7002</v>
      </c>
      <c r="E37">
        <v>65.001639127731295</v>
      </c>
    </row>
    <row r="38" spans="1:75" x14ac:dyDescent="0.25">
      <c r="A38" t="s">
        <v>5</v>
      </c>
      <c r="B38">
        <v>1</v>
      </c>
      <c r="C38">
        <v>0.161416625181833</v>
      </c>
      <c r="D38">
        <v>6960</v>
      </c>
      <c r="E38">
        <v>113.82423710822999</v>
      </c>
    </row>
    <row r="39" spans="1:75" x14ac:dyDescent="0.25">
      <c r="A39" t="s">
        <v>6</v>
      </c>
      <c r="B39">
        <v>1</v>
      </c>
      <c r="C39">
        <v>0.15544440388679501</v>
      </c>
      <c r="D39">
        <v>7002</v>
      </c>
      <c r="E39">
        <v>64.899913311004596</v>
      </c>
    </row>
    <row r="40" spans="1:75" x14ac:dyDescent="0.25">
      <c r="A40" t="s">
        <v>5</v>
      </c>
      <c r="B40">
        <v>2</v>
      </c>
      <c r="C40">
        <v>0.140833292206128</v>
      </c>
      <c r="D40">
        <v>6960</v>
      </c>
      <c r="E40">
        <v>113.579442501068</v>
      </c>
    </row>
    <row r="41" spans="1:75" x14ac:dyDescent="0.25">
      <c r="A41" t="s">
        <v>6</v>
      </c>
      <c r="B41">
        <v>2</v>
      </c>
      <c r="C41">
        <v>0.13313884715239199</v>
      </c>
      <c r="D41">
        <v>7002</v>
      </c>
      <c r="E41">
        <v>64.734029769897404</v>
      </c>
    </row>
    <row r="42" spans="1:75" x14ac:dyDescent="0.25">
      <c r="A42" t="s">
        <v>5</v>
      </c>
      <c r="B42">
        <v>3</v>
      </c>
      <c r="C42">
        <v>0.119888847867647</v>
      </c>
      <c r="D42">
        <v>6960</v>
      </c>
      <c r="E42">
        <v>114.297258853912</v>
      </c>
      <c r="H42">
        <v>14</v>
      </c>
    </row>
    <row r="43" spans="1:75" x14ac:dyDescent="0.25">
      <c r="A43" t="s">
        <v>6</v>
      </c>
      <c r="B43">
        <v>3</v>
      </c>
      <c r="C43">
        <v>0.108861067493756</v>
      </c>
      <c r="D43">
        <v>7002</v>
      </c>
      <c r="E43">
        <v>65.132993221282902</v>
      </c>
      <c r="H43" t="str">
        <f>H22</f>
        <v>Transformer</v>
      </c>
      <c r="I43" cm="1">
        <f t="array" ref="I43:BW43">TRANSPOSE(_xlfn._xlws.FILTER($C:$C,($A:$A=H$43)*($B:$B=$H42)))</f>
        <v>3.2407343387603701E-4</v>
      </c>
      <c r="J43">
        <v>3.3333241939544598E-4</v>
      </c>
      <c r="K43">
        <v>4.1666587193806898E-4</v>
      </c>
      <c r="L43">
        <v>4.1666587193806898E-4</v>
      </c>
      <c r="M43">
        <v>3.6110997200012202E-4</v>
      </c>
      <c r="N43">
        <v>4.16665474573771E-4</v>
      </c>
      <c r="O43">
        <v>3.3333241939544598E-4</v>
      </c>
      <c r="P43">
        <v>3.5185118516286202E-4</v>
      </c>
      <c r="Q43">
        <v>3.2407303651173902E-4</v>
      </c>
      <c r="R43">
        <v>2.03702847162882E-4</v>
      </c>
      <c r="S43">
        <v>3.6110997200012202E-4</v>
      </c>
      <c r="T43">
        <v>5.5555423100789303E-4</v>
      </c>
      <c r="U43">
        <v>2.22221414248148E-4</v>
      </c>
      <c r="V43">
        <v>3.79628539085388E-4</v>
      </c>
      <c r="W43">
        <v>3.4259180227915403E-4</v>
      </c>
      <c r="X43">
        <v>2.5925834973653103E-4</v>
      </c>
      <c r="Y43">
        <v>2.8703649838765402E-4</v>
      </c>
      <c r="Z43">
        <v>3.98147304852803E-4</v>
      </c>
      <c r="AA43">
        <v>4.8148016134897802E-4</v>
      </c>
      <c r="AB43">
        <v>4.3518384297688801E-4</v>
      </c>
      <c r="AC43">
        <v>3.8888752460479697E-4</v>
      </c>
      <c r="AD43">
        <v>5.8333178361256901E-4</v>
      </c>
      <c r="AE43">
        <v>4.07406489054361E-4</v>
      </c>
      <c r="AF43">
        <v>2.6851753393808999E-4</v>
      </c>
      <c r="AG43">
        <v>4.4444362322489399E-4</v>
      </c>
      <c r="AH43">
        <v>4.6296179294586101E-4</v>
      </c>
      <c r="AI43">
        <v>2.5925854841867999E-4</v>
      </c>
      <c r="AJ43">
        <v>4.62961991628011E-4</v>
      </c>
      <c r="AK43">
        <v>1.94443662961324E-4</v>
      </c>
      <c r="AL43">
        <v>2.5925834973653103E-4</v>
      </c>
      <c r="AM43">
        <v>1.94443861643473E-4</v>
      </c>
      <c r="AN43">
        <v>3.4259180227915403E-4</v>
      </c>
      <c r="AO43">
        <v>4.16665275891621E-4</v>
      </c>
      <c r="AP43">
        <v>3.0555446942647299E-4</v>
      </c>
      <c r="AQ43">
        <v>3.0555446942647299E-4</v>
      </c>
      <c r="AR43">
        <v>2.49999364217122E-4</v>
      </c>
      <c r="AS43">
        <v>2.7777671813964799E-4</v>
      </c>
      <c r="AT43">
        <v>2.22221612930297E-4</v>
      </c>
      <c r="AU43">
        <v>2.8703590234120598E-4</v>
      </c>
      <c r="AV43">
        <v>4.0740668773651099E-4</v>
      </c>
      <c r="AW43">
        <v>5.5555423100789303E-4</v>
      </c>
      <c r="AX43">
        <v>1.29628976186116E-4</v>
      </c>
      <c r="AY43">
        <v>3.51850787798563E-4</v>
      </c>
      <c r="AZ43">
        <v>3.9814710617065398E-4</v>
      </c>
      <c r="BA43">
        <v>3.5185098648071202E-4</v>
      </c>
      <c r="BB43">
        <v>1.8518447875976501E-4</v>
      </c>
      <c r="BC43">
        <v>3.8888812065124501E-4</v>
      </c>
      <c r="BD43">
        <v>4.5370260874430301E-4</v>
      </c>
      <c r="BE43">
        <v>5.8333138624827E-4</v>
      </c>
      <c r="BF43">
        <v>3.3333222071329702E-4</v>
      </c>
      <c r="BG43">
        <v>4.0740668773651099E-4</v>
      </c>
      <c r="BH43">
        <v>2.0370304584503099E-4</v>
      </c>
      <c r="BI43">
        <v>3.7036895751953099E-4</v>
      </c>
      <c r="BJ43">
        <v>4.0740609169006301E-4</v>
      </c>
      <c r="BK43">
        <v>4.35184240341186E-4</v>
      </c>
      <c r="BL43">
        <v>2.03702847162882E-4</v>
      </c>
      <c r="BM43">
        <v>3.6111017068227099E-4</v>
      </c>
      <c r="BN43">
        <v>2.12962428728739E-4</v>
      </c>
      <c r="BO43">
        <v>3.33332816759745E-4</v>
      </c>
      <c r="BP43">
        <v>2.8703649838765402E-4</v>
      </c>
      <c r="BQ43">
        <v>2.8703649838765402E-4</v>
      </c>
      <c r="BR43">
        <v>2.2222121556599901E-4</v>
      </c>
      <c r="BS43">
        <v>3.6111056804656897E-4</v>
      </c>
      <c r="BT43">
        <v>3.4259140491485501E-4</v>
      </c>
      <c r="BU43">
        <v>3.5185098648071202E-4</v>
      </c>
      <c r="BV43">
        <v>5.1851749420165998E-4</v>
      </c>
      <c r="BW43">
        <v>3.7036955356597898E-4</v>
      </c>
    </row>
    <row r="44" spans="1:75" x14ac:dyDescent="0.25">
      <c r="A44" t="s">
        <v>5</v>
      </c>
      <c r="B44">
        <v>4</v>
      </c>
      <c r="C44">
        <v>9.9916623433430996E-2</v>
      </c>
      <c r="D44">
        <v>6960</v>
      </c>
      <c r="E44">
        <v>113.61662745475699</v>
      </c>
      <c r="H44" t="str">
        <f>H23</f>
        <v>ViterbiNet</v>
      </c>
      <c r="I44" cm="1">
        <f t="array" ref="I44:BW44">TRANSPOSE(_xlfn._xlws.FILTER($C:$C,($A:$A=H$44)*($B:$B=$H42)))</f>
        <v>4.7222018241882302E-4</v>
      </c>
      <c r="J44">
        <v>5.0925751527150401E-4</v>
      </c>
      <c r="K44">
        <v>3.1481345494588202E-4</v>
      </c>
      <c r="L44">
        <v>6.2036772569020501E-4</v>
      </c>
      <c r="M44">
        <v>4.07405296961466E-4</v>
      </c>
      <c r="N44">
        <v>3.8888692855834899E-4</v>
      </c>
      <c r="O44">
        <v>6.29627108573913E-4</v>
      </c>
      <c r="P44">
        <v>4.1666487852732301E-4</v>
      </c>
      <c r="Q44">
        <v>5.6481242179870603E-4</v>
      </c>
      <c r="R44">
        <v>3.3333162466684898E-4</v>
      </c>
      <c r="S44">
        <v>4.3518284956614101E-4</v>
      </c>
      <c r="T44">
        <v>5.9259057044982902E-4</v>
      </c>
      <c r="U44">
        <v>3.14813057581583E-4</v>
      </c>
      <c r="V44">
        <v>5.4629405339558896E-4</v>
      </c>
      <c r="W44">
        <v>6.11108342806498E-4</v>
      </c>
      <c r="X44">
        <v>5.6481202443440701E-4</v>
      </c>
      <c r="Y44">
        <v>4.0740569432576399E-4</v>
      </c>
      <c r="Z44">
        <v>2.7777632077534902E-4</v>
      </c>
      <c r="AA44">
        <v>6.2036792437235495E-4</v>
      </c>
      <c r="AB44">
        <v>4.0740569432576399E-4</v>
      </c>
      <c r="AC44">
        <v>3.3333122730255099E-4</v>
      </c>
      <c r="AD44">
        <v>4.9073835213978999E-4</v>
      </c>
      <c r="AE44">
        <v>7.0370117823282795E-4</v>
      </c>
      <c r="AF44">
        <v>3.0555446942647299E-4</v>
      </c>
      <c r="AG44">
        <v>5.2777588367462097E-4</v>
      </c>
      <c r="AH44">
        <v>3.9814611275990801E-4</v>
      </c>
      <c r="AI44">
        <v>3.8888732592264801E-4</v>
      </c>
      <c r="AJ44">
        <v>3.5184999306996599E-4</v>
      </c>
      <c r="AK44">
        <v>7.4073771635691302E-4</v>
      </c>
      <c r="AL44">
        <v>2.7777632077534902E-4</v>
      </c>
      <c r="AM44">
        <v>2.40739583969116E-4</v>
      </c>
      <c r="AN44">
        <v>3.9814631144205698E-4</v>
      </c>
      <c r="AO44">
        <v>6.0184975465138696E-4</v>
      </c>
      <c r="AP44">
        <v>4.4444262981414699E-4</v>
      </c>
      <c r="AQ44">
        <v>5.09256919225057E-4</v>
      </c>
      <c r="AR44">
        <v>3.5184959570566801E-4</v>
      </c>
      <c r="AS44">
        <v>2.2222101688384999E-4</v>
      </c>
      <c r="AT44">
        <v>3.8888732592264801E-4</v>
      </c>
      <c r="AU44">
        <v>4.5370181401570601E-4</v>
      </c>
      <c r="AV44">
        <v>4.0740549564361502E-4</v>
      </c>
      <c r="AW44">
        <v>2.9629488786061598E-4</v>
      </c>
      <c r="AX44">
        <v>6.6666384538014703E-4</v>
      </c>
      <c r="AY44">
        <v>2.3148020108540801E-4</v>
      </c>
      <c r="AZ44">
        <v>6.0184915860493897E-4</v>
      </c>
      <c r="BA44">
        <v>2.03702648480733E-4</v>
      </c>
      <c r="BB44">
        <v>6.0184935728708902E-4</v>
      </c>
      <c r="BC44">
        <v>2.4073978265126499E-4</v>
      </c>
      <c r="BD44">
        <v>5.2777588367462097E-4</v>
      </c>
      <c r="BE44">
        <v>2.7777671813964799E-4</v>
      </c>
      <c r="BF44">
        <v>6.7592322826385502E-4</v>
      </c>
      <c r="BG44">
        <v>3.9814631144205698E-4</v>
      </c>
      <c r="BH44">
        <v>3.8888732592264801E-4</v>
      </c>
      <c r="BI44">
        <v>2.5925815105438201E-4</v>
      </c>
      <c r="BJ44">
        <v>2.7777651945749902E-4</v>
      </c>
      <c r="BK44">
        <v>6.94441596666971E-4</v>
      </c>
      <c r="BL44">
        <v>3.79627744356791E-4</v>
      </c>
      <c r="BM44">
        <v>3.5185019175211501E-4</v>
      </c>
      <c r="BN44">
        <v>3.5184999306996599E-4</v>
      </c>
      <c r="BO44">
        <v>5.3703526655832895E-4</v>
      </c>
      <c r="BP44">
        <v>3.5184979438781697E-4</v>
      </c>
      <c r="BQ44">
        <v>3.0555387338002501E-4</v>
      </c>
      <c r="BR44">
        <v>6.0184915860493897E-4</v>
      </c>
      <c r="BS44">
        <v>4.0740569432576399E-4</v>
      </c>
      <c r="BT44">
        <v>3.5185019175211501E-4</v>
      </c>
      <c r="BU44">
        <v>3.9814670880635502E-4</v>
      </c>
      <c r="BV44">
        <v>4.8147896925608297E-4</v>
      </c>
      <c r="BW44">
        <v>4.25924261411031E-4</v>
      </c>
    </row>
    <row r="45" spans="1:75" x14ac:dyDescent="0.25">
      <c r="A45" t="s">
        <v>6</v>
      </c>
      <c r="B45">
        <v>4</v>
      </c>
      <c r="C45">
        <v>8.7499955495198498E-2</v>
      </c>
      <c r="D45">
        <v>7002</v>
      </c>
      <c r="E45">
        <v>64.880518198013306</v>
      </c>
    </row>
    <row r="46" spans="1:75" x14ac:dyDescent="0.25">
      <c r="A46" t="s">
        <v>5</v>
      </c>
      <c r="B46">
        <v>5</v>
      </c>
      <c r="C46">
        <v>8.1638845205306995E-2</v>
      </c>
      <c r="D46">
        <v>6960</v>
      </c>
      <c r="E46">
        <v>113.641856908798</v>
      </c>
      <c r="H46" t="str">
        <f>"SNR"&amp;H42</f>
        <v>SNR14</v>
      </c>
    </row>
    <row r="47" spans="1:75" x14ac:dyDescent="0.25">
      <c r="A47" t="s">
        <v>6</v>
      </c>
      <c r="B47">
        <v>5</v>
      </c>
      <c r="C47">
        <v>6.4972178936004599E-2</v>
      </c>
      <c r="D47">
        <v>7002</v>
      </c>
      <c r="E47">
        <v>64.600130081176701</v>
      </c>
    </row>
    <row r="48" spans="1:75" x14ac:dyDescent="0.25">
      <c r="A48" t="s">
        <v>5</v>
      </c>
      <c r="B48">
        <v>6</v>
      </c>
      <c r="C48">
        <v>6.4138844211896195E-2</v>
      </c>
      <c r="D48">
        <v>6960</v>
      </c>
      <c r="E48">
        <v>113.681396484375</v>
      </c>
    </row>
    <row r="49" spans="1:5" x14ac:dyDescent="0.25">
      <c r="A49" t="s">
        <v>6</v>
      </c>
      <c r="B49">
        <v>6</v>
      </c>
      <c r="C49">
        <v>4.7805515130360902E-2</v>
      </c>
      <c r="D49">
        <v>7002</v>
      </c>
      <c r="E49">
        <v>64.950857877731295</v>
      </c>
    </row>
    <row r="50" spans="1:5" x14ac:dyDescent="0.25">
      <c r="A50" t="s">
        <v>5</v>
      </c>
      <c r="B50">
        <v>8</v>
      </c>
      <c r="C50">
        <v>3.1722186803817699E-2</v>
      </c>
      <c r="D50">
        <v>6960</v>
      </c>
      <c r="E50">
        <v>114.181953907012</v>
      </c>
    </row>
    <row r="51" spans="1:5" x14ac:dyDescent="0.25">
      <c r="A51" t="s">
        <v>6</v>
      </c>
      <c r="B51">
        <v>8</v>
      </c>
      <c r="C51">
        <v>2.5583301385243701E-2</v>
      </c>
      <c r="D51">
        <v>7002</v>
      </c>
      <c r="E51">
        <v>64.799849748611393</v>
      </c>
    </row>
    <row r="52" spans="1:5" x14ac:dyDescent="0.25">
      <c r="A52" t="s">
        <v>5</v>
      </c>
      <c r="B52">
        <v>9</v>
      </c>
      <c r="C52">
        <v>2.3555530309677102E-2</v>
      </c>
      <c r="D52">
        <v>6960</v>
      </c>
      <c r="E52">
        <v>113.357994318008</v>
      </c>
    </row>
    <row r="53" spans="1:5" x14ac:dyDescent="0.25">
      <c r="A53" t="s">
        <v>6</v>
      </c>
      <c r="B53">
        <v>9</v>
      </c>
      <c r="C53">
        <v>1.46110862493515E-2</v>
      </c>
      <c r="D53">
        <v>7002</v>
      </c>
      <c r="E53">
        <v>64.965451717376695</v>
      </c>
    </row>
    <row r="54" spans="1:5" x14ac:dyDescent="0.25">
      <c r="A54" t="s">
        <v>5</v>
      </c>
      <c r="B54">
        <v>10</v>
      </c>
      <c r="C54">
        <v>1.3638873497644999E-2</v>
      </c>
      <c r="D54">
        <v>6960</v>
      </c>
      <c r="E54">
        <v>113.985616445541</v>
      </c>
    </row>
    <row r="55" spans="1:5" x14ac:dyDescent="0.25">
      <c r="A55" t="s">
        <v>6</v>
      </c>
      <c r="B55">
        <v>10</v>
      </c>
      <c r="C55">
        <v>1.09444254636764E-2</v>
      </c>
      <c r="D55">
        <v>7002</v>
      </c>
      <c r="E55">
        <v>64.749488115310598</v>
      </c>
    </row>
    <row r="56" spans="1:5" x14ac:dyDescent="0.25">
      <c r="A56" t="s">
        <v>5</v>
      </c>
      <c r="B56">
        <v>11</v>
      </c>
      <c r="C56">
        <v>6.6111030181248897E-3</v>
      </c>
      <c r="D56">
        <v>6960</v>
      </c>
      <c r="E56">
        <v>113.78209400177001</v>
      </c>
    </row>
    <row r="57" spans="1:5" x14ac:dyDescent="0.25">
      <c r="A57" t="s">
        <v>6</v>
      </c>
      <c r="B57">
        <v>11</v>
      </c>
      <c r="C57">
        <v>6.3611008723576798E-3</v>
      </c>
      <c r="D57">
        <v>7002</v>
      </c>
      <c r="E57">
        <v>64.866633415222097</v>
      </c>
    </row>
    <row r="58" spans="1:5" x14ac:dyDescent="0.25">
      <c r="A58" t="s">
        <v>5</v>
      </c>
      <c r="B58">
        <v>12</v>
      </c>
      <c r="C58">
        <v>3.0138768752415901E-3</v>
      </c>
      <c r="D58">
        <v>6960</v>
      </c>
      <c r="E58">
        <v>129.228143692016</v>
      </c>
    </row>
    <row r="59" spans="1:5" x14ac:dyDescent="0.25">
      <c r="A59" t="s">
        <v>6</v>
      </c>
      <c r="B59">
        <v>12</v>
      </c>
      <c r="C59">
        <v>1.9999909400939902E-3</v>
      </c>
      <c r="D59">
        <v>7002</v>
      </c>
      <c r="E59">
        <v>83.399899721145601</v>
      </c>
    </row>
    <row r="60" spans="1:5" x14ac:dyDescent="0.25">
      <c r="A60" t="s">
        <v>5</v>
      </c>
      <c r="B60">
        <v>13</v>
      </c>
      <c r="C60">
        <v>1.2361071507136E-3</v>
      </c>
      <c r="D60">
        <v>6960</v>
      </c>
      <c r="E60">
        <v>128.91974973678501</v>
      </c>
    </row>
    <row r="61" spans="1:5" x14ac:dyDescent="0.25">
      <c r="A61" t="s">
        <v>6</v>
      </c>
      <c r="B61">
        <v>13</v>
      </c>
      <c r="C61">
        <v>1.6249912977218601E-3</v>
      </c>
      <c r="D61">
        <v>7002</v>
      </c>
      <c r="E61">
        <v>83.495471000671301</v>
      </c>
    </row>
    <row r="62" spans="1:5" x14ac:dyDescent="0.25">
      <c r="A62" t="s">
        <v>5</v>
      </c>
      <c r="B62">
        <v>14</v>
      </c>
      <c r="C62">
        <v>3.3333241939544598E-4</v>
      </c>
      <c r="D62">
        <v>6960</v>
      </c>
      <c r="E62">
        <v>170.45960450172399</v>
      </c>
    </row>
    <row r="63" spans="1:5" x14ac:dyDescent="0.25">
      <c r="A63" t="s">
        <v>6</v>
      </c>
      <c r="B63">
        <v>14</v>
      </c>
      <c r="C63">
        <v>5.0925751527150401E-4</v>
      </c>
      <c r="D63">
        <v>7002</v>
      </c>
      <c r="E63">
        <v>99.900450229644704</v>
      </c>
    </row>
    <row r="64" spans="1:5" x14ac:dyDescent="0.25">
      <c r="A64" t="s">
        <v>5</v>
      </c>
      <c r="B64">
        <v>15</v>
      </c>
      <c r="C64">
        <v>1.20369791984558E-4</v>
      </c>
      <c r="D64">
        <v>6960</v>
      </c>
      <c r="E64">
        <v>179.582259178161</v>
      </c>
    </row>
    <row r="65" spans="1:5" x14ac:dyDescent="0.25">
      <c r="A65" t="s">
        <v>6</v>
      </c>
      <c r="B65">
        <v>15</v>
      </c>
      <c r="C65">
        <v>1.5740712483723899E-4</v>
      </c>
      <c r="D65">
        <v>7002</v>
      </c>
      <c r="E65">
        <v>106.46064996719301</v>
      </c>
    </row>
    <row r="66" spans="1:5" x14ac:dyDescent="0.25">
      <c r="A66" t="s">
        <v>5</v>
      </c>
      <c r="B66">
        <v>16</v>
      </c>
      <c r="C66">
        <v>0</v>
      </c>
      <c r="D66">
        <v>6960</v>
      </c>
      <c r="E66">
        <v>180.73108196258499</v>
      </c>
    </row>
    <row r="67" spans="1:5" x14ac:dyDescent="0.25">
      <c r="A67" t="s">
        <v>6</v>
      </c>
      <c r="B67">
        <v>16</v>
      </c>
      <c r="C67" s="1">
        <v>3.7036736806233697E-5</v>
      </c>
      <c r="D67">
        <v>7002</v>
      </c>
      <c r="E67">
        <v>107.53309059143</v>
      </c>
    </row>
    <row r="68" spans="1:5" x14ac:dyDescent="0.25">
      <c r="A68" t="s">
        <v>5</v>
      </c>
      <c r="B68">
        <v>17</v>
      </c>
      <c r="C68" s="1">
        <v>3.7036935488382901E-5</v>
      </c>
      <c r="D68">
        <v>6960</v>
      </c>
      <c r="E68">
        <v>183.25576376914901</v>
      </c>
    </row>
    <row r="69" spans="1:5" x14ac:dyDescent="0.25">
      <c r="A69" t="s">
        <v>6</v>
      </c>
      <c r="B69">
        <v>17</v>
      </c>
      <c r="C69" s="1">
        <v>5.55553038914998E-5</v>
      </c>
      <c r="D69">
        <v>7002</v>
      </c>
      <c r="E69">
        <v>111.781818389892</v>
      </c>
    </row>
    <row r="70" spans="1:5" x14ac:dyDescent="0.25">
      <c r="A70" t="s">
        <v>5</v>
      </c>
      <c r="B70">
        <v>0</v>
      </c>
      <c r="C70">
        <v>0.188944400946299</v>
      </c>
      <c r="D70">
        <v>6960</v>
      </c>
      <c r="E70">
        <v>130.06669163703901</v>
      </c>
    </row>
    <row r="71" spans="1:5" x14ac:dyDescent="0.25">
      <c r="A71" t="s">
        <v>6</v>
      </c>
      <c r="B71">
        <v>0</v>
      </c>
      <c r="C71">
        <v>0.18119440356890301</v>
      </c>
      <c r="D71">
        <v>7002</v>
      </c>
      <c r="E71">
        <v>71.915470838546696</v>
      </c>
    </row>
    <row r="72" spans="1:5" x14ac:dyDescent="0.25">
      <c r="A72" t="s">
        <v>5</v>
      </c>
      <c r="B72">
        <v>1</v>
      </c>
      <c r="C72">
        <v>0.16758329212665499</v>
      </c>
      <c r="D72">
        <v>6960</v>
      </c>
      <c r="E72">
        <v>120.919984102249</v>
      </c>
    </row>
    <row r="73" spans="1:5" x14ac:dyDescent="0.25">
      <c r="A73" t="s">
        <v>6</v>
      </c>
      <c r="B73">
        <v>1</v>
      </c>
      <c r="C73">
        <v>0.15683329224586401</v>
      </c>
      <c r="D73">
        <v>7002</v>
      </c>
      <c r="E73">
        <v>73.844095945358205</v>
      </c>
    </row>
    <row r="74" spans="1:5" x14ac:dyDescent="0.25">
      <c r="A74" t="s">
        <v>5</v>
      </c>
      <c r="B74">
        <v>2</v>
      </c>
      <c r="C74">
        <v>0.14080551346143</v>
      </c>
      <c r="D74">
        <v>6960</v>
      </c>
      <c r="E74">
        <v>121.98944830894401</v>
      </c>
    </row>
    <row r="75" spans="1:5" x14ac:dyDescent="0.25">
      <c r="A75" t="s">
        <v>6</v>
      </c>
      <c r="B75">
        <v>2</v>
      </c>
      <c r="C75">
        <v>0.13199995815753901</v>
      </c>
      <c r="D75">
        <v>7002</v>
      </c>
      <c r="E75">
        <v>75.6093909740448</v>
      </c>
    </row>
    <row r="76" spans="1:5" x14ac:dyDescent="0.25">
      <c r="A76" t="s">
        <v>5</v>
      </c>
      <c r="B76">
        <v>3</v>
      </c>
      <c r="C76">
        <v>0.12088884770870199</v>
      </c>
      <c r="D76">
        <v>6960</v>
      </c>
      <c r="E76">
        <v>119.493386745452</v>
      </c>
    </row>
    <row r="77" spans="1:5" x14ac:dyDescent="0.25">
      <c r="A77" t="s">
        <v>6</v>
      </c>
      <c r="B77">
        <v>3</v>
      </c>
      <c r="C77">
        <v>0.109416625102361</v>
      </c>
      <c r="D77">
        <v>7002</v>
      </c>
      <c r="E77">
        <v>71.950486898422199</v>
      </c>
    </row>
    <row r="78" spans="1:5" x14ac:dyDescent="0.25">
      <c r="A78" t="s">
        <v>5</v>
      </c>
      <c r="B78">
        <v>4</v>
      </c>
      <c r="C78">
        <v>9.7527734239896094E-2</v>
      </c>
      <c r="D78">
        <v>6960</v>
      </c>
      <c r="E78">
        <v>113.63076090812601</v>
      </c>
    </row>
    <row r="79" spans="1:5" x14ac:dyDescent="0.25">
      <c r="A79" t="s">
        <v>6</v>
      </c>
      <c r="B79">
        <v>4</v>
      </c>
      <c r="C79">
        <v>8.5333291689554794E-2</v>
      </c>
      <c r="D79">
        <v>7002</v>
      </c>
      <c r="E79">
        <v>65.196322917938204</v>
      </c>
    </row>
    <row r="80" spans="1:5" x14ac:dyDescent="0.25">
      <c r="A80" t="s">
        <v>5</v>
      </c>
      <c r="B80">
        <v>5</v>
      </c>
      <c r="C80">
        <v>8.1833291053771906E-2</v>
      </c>
      <c r="D80">
        <v>6960</v>
      </c>
      <c r="E80">
        <v>135.85628080367999</v>
      </c>
    </row>
    <row r="81" spans="1:5" x14ac:dyDescent="0.25">
      <c r="A81" t="s">
        <v>6</v>
      </c>
      <c r="B81">
        <v>5</v>
      </c>
      <c r="C81">
        <v>6.5083289146423307E-2</v>
      </c>
      <c r="D81">
        <v>7002</v>
      </c>
      <c r="E81">
        <v>75.750077962875295</v>
      </c>
    </row>
    <row r="82" spans="1:5" x14ac:dyDescent="0.25">
      <c r="A82" t="s">
        <v>5</v>
      </c>
      <c r="B82">
        <v>6</v>
      </c>
      <c r="C82">
        <v>6.3777734239896106E-2</v>
      </c>
      <c r="D82">
        <v>6960</v>
      </c>
      <c r="E82">
        <v>128.57055902481</v>
      </c>
    </row>
    <row r="83" spans="1:5" x14ac:dyDescent="0.25">
      <c r="A83" t="s">
        <v>6</v>
      </c>
      <c r="B83">
        <v>6</v>
      </c>
      <c r="C83">
        <v>4.7999960978825799E-2</v>
      </c>
      <c r="D83">
        <v>7002</v>
      </c>
      <c r="E83">
        <v>77.281416654586707</v>
      </c>
    </row>
    <row r="84" spans="1:5" x14ac:dyDescent="0.25">
      <c r="A84" t="s">
        <v>5</v>
      </c>
      <c r="B84">
        <v>8</v>
      </c>
      <c r="C84">
        <v>3.2472186485926299E-2</v>
      </c>
      <c r="D84">
        <v>6960</v>
      </c>
      <c r="E84">
        <v>128.95189476013101</v>
      </c>
    </row>
    <row r="85" spans="1:5" x14ac:dyDescent="0.25">
      <c r="A85" t="s">
        <v>6</v>
      </c>
      <c r="B85">
        <v>8</v>
      </c>
      <c r="C85">
        <v>2.29721931616465E-2</v>
      </c>
      <c r="D85">
        <v>7002</v>
      </c>
      <c r="E85">
        <v>72.545314073562594</v>
      </c>
    </row>
    <row r="86" spans="1:5" x14ac:dyDescent="0.25">
      <c r="A86" t="s">
        <v>5</v>
      </c>
      <c r="B86">
        <v>9</v>
      </c>
      <c r="C86">
        <v>2.07499756415685E-2</v>
      </c>
      <c r="D86">
        <v>6960</v>
      </c>
      <c r="E86">
        <v>116.726308822631</v>
      </c>
    </row>
    <row r="87" spans="1:5" x14ac:dyDescent="0.25">
      <c r="A87" t="s">
        <v>6</v>
      </c>
      <c r="B87">
        <v>9</v>
      </c>
      <c r="C87">
        <v>1.7361086209615E-2</v>
      </c>
      <c r="D87">
        <v>7002</v>
      </c>
      <c r="E87">
        <v>70.854072809219304</v>
      </c>
    </row>
    <row r="88" spans="1:5" x14ac:dyDescent="0.25">
      <c r="A88" t="s">
        <v>5</v>
      </c>
      <c r="B88">
        <v>10</v>
      </c>
      <c r="C88">
        <v>1.1749985218048001E-2</v>
      </c>
      <c r="D88">
        <v>6960</v>
      </c>
      <c r="E88">
        <v>124.003485918045</v>
      </c>
    </row>
    <row r="89" spans="1:5" x14ac:dyDescent="0.25">
      <c r="A89" t="s">
        <v>6</v>
      </c>
      <c r="B89">
        <v>10</v>
      </c>
      <c r="C89">
        <v>9.0833159287770499E-3</v>
      </c>
      <c r="D89">
        <v>7002</v>
      </c>
      <c r="E89">
        <v>76.150050401687594</v>
      </c>
    </row>
    <row r="90" spans="1:5" x14ac:dyDescent="0.25">
      <c r="A90" t="s">
        <v>5</v>
      </c>
      <c r="B90">
        <v>11</v>
      </c>
      <c r="C90">
        <v>6.6388789812723698E-3</v>
      </c>
      <c r="D90">
        <v>6960</v>
      </c>
      <c r="E90">
        <v>125.033976793289</v>
      </c>
    </row>
    <row r="91" spans="1:5" x14ac:dyDescent="0.25">
      <c r="A91" t="s">
        <v>6</v>
      </c>
      <c r="B91">
        <v>11</v>
      </c>
      <c r="C91">
        <v>4.7777686516443799E-3</v>
      </c>
      <c r="D91">
        <v>7002</v>
      </c>
      <c r="E91">
        <v>71.621473550796495</v>
      </c>
    </row>
    <row r="92" spans="1:5" x14ac:dyDescent="0.25">
      <c r="A92" t="s">
        <v>5</v>
      </c>
      <c r="B92">
        <v>12</v>
      </c>
      <c r="C92">
        <v>1.97221477826436E-3</v>
      </c>
      <c r="D92">
        <v>6960</v>
      </c>
      <c r="E92">
        <v>136.37247633934001</v>
      </c>
    </row>
    <row r="93" spans="1:5" x14ac:dyDescent="0.25">
      <c r="A93" t="s">
        <v>6</v>
      </c>
      <c r="B93">
        <v>12</v>
      </c>
      <c r="C93">
        <v>2.0694323380788101E-3</v>
      </c>
      <c r="D93">
        <v>7002</v>
      </c>
      <c r="E93">
        <v>87.287188291549597</v>
      </c>
    </row>
    <row r="94" spans="1:5" x14ac:dyDescent="0.25">
      <c r="A94" t="s">
        <v>5</v>
      </c>
      <c r="B94">
        <v>13</v>
      </c>
      <c r="C94">
        <v>7.9166332880655898E-4</v>
      </c>
      <c r="D94">
        <v>6960</v>
      </c>
      <c r="E94">
        <v>146.60167646407999</v>
      </c>
    </row>
    <row r="95" spans="1:5" x14ac:dyDescent="0.25">
      <c r="A95" t="s">
        <v>6</v>
      </c>
      <c r="B95">
        <v>13</v>
      </c>
      <c r="C95">
        <v>8.1944008668263704E-4</v>
      </c>
      <c r="D95">
        <v>7002</v>
      </c>
      <c r="E95">
        <v>109.670008182525</v>
      </c>
    </row>
    <row r="96" spans="1:5" x14ac:dyDescent="0.25">
      <c r="A96" t="s">
        <v>5</v>
      </c>
      <c r="B96">
        <v>14</v>
      </c>
      <c r="C96">
        <v>4.1666587193806898E-4</v>
      </c>
      <c r="D96">
        <v>6960</v>
      </c>
      <c r="E96">
        <v>201.099012613296</v>
      </c>
    </row>
    <row r="97" spans="1:5" x14ac:dyDescent="0.25">
      <c r="A97" t="s">
        <v>6</v>
      </c>
      <c r="B97">
        <v>14</v>
      </c>
      <c r="C97">
        <v>3.1481345494588202E-4</v>
      </c>
      <c r="D97">
        <v>7002</v>
      </c>
      <c r="E97">
        <v>109.32985806465101</v>
      </c>
    </row>
    <row r="98" spans="1:5" x14ac:dyDescent="0.25">
      <c r="A98" t="s">
        <v>5</v>
      </c>
      <c r="B98">
        <v>15</v>
      </c>
      <c r="C98" s="1">
        <v>6.4814686775207497E-5</v>
      </c>
      <c r="D98">
        <v>6960</v>
      </c>
      <c r="E98">
        <v>193.193592786788</v>
      </c>
    </row>
    <row r="99" spans="1:5" x14ac:dyDescent="0.25">
      <c r="A99" t="s">
        <v>6</v>
      </c>
      <c r="B99">
        <v>15</v>
      </c>
      <c r="C99">
        <v>2.6851733525594E-4</v>
      </c>
      <c r="D99">
        <v>7002</v>
      </c>
      <c r="E99">
        <v>113.36604237556401</v>
      </c>
    </row>
    <row r="100" spans="1:5" x14ac:dyDescent="0.25">
      <c r="A100" t="s">
        <v>5</v>
      </c>
      <c r="B100">
        <v>16</v>
      </c>
      <c r="C100">
        <v>0</v>
      </c>
      <c r="D100">
        <v>6960</v>
      </c>
      <c r="E100">
        <v>210.379622459411</v>
      </c>
    </row>
    <row r="101" spans="1:5" x14ac:dyDescent="0.25">
      <c r="A101" t="s">
        <v>6</v>
      </c>
      <c r="B101">
        <v>16</v>
      </c>
      <c r="C101" s="1">
        <v>1.8518368403116801E-5</v>
      </c>
      <c r="D101">
        <v>7002</v>
      </c>
      <c r="E101">
        <v>107.214520931243</v>
      </c>
    </row>
    <row r="102" spans="1:5" x14ac:dyDescent="0.25">
      <c r="A102" t="s">
        <v>5</v>
      </c>
      <c r="B102">
        <v>17</v>
      </c>
      <c r="C102" s="1">
        <v>6.4814686775207497E-5</v>
      </c>
      <c r="D102">
        <v>6960</v>
      </c>
      <c r="E102">
        <v>172.877753734588</v>
      </c>
    </row>
    <row r="103" spans="1:5" x14ac:dyDescent="0.25">
      <c r="A103" t="s">
        <v>6</v>
      </c>
      <c r="B103">
        <v>17</v>
      </c>
      <c r="C103">
        <v>0</v>
      </c>
      <c r="D103">
        <v>7002</v>
      </c>
      <c r="E103">
        <v>101.74997258186301</v>
      </c>
    </row>
    <row r="104" spans="1:5" x14ac:dyDescent="0.25">
      <c r="A104" t="s">
        <v>5</v>
      </c>
      <c r="B104">
        <v>0</v>
      </c>
      <c r="C104">
        <v>0.18683329204718199</v>
      </c>
      <c r="D104">
        <v>6960</v>
      </c>
      <c r="E104">
        <v>114.930775880813</v>
      </c>
    </row>
    <row r="105" spans="1:5" x14ac:dyDescent="0.25">
      <c r="A105" t="s">
        <v>6</v>
      </c>
      <c r="B105">
        <v>0</v>
      </c>
      <c r="C105">
        <v>0.18049995819727499</v>
      </c>
      <c r="D105">
        <v>7002</v>
      </c>
      <c r="E105">
        <v>65.583313465118394</v>
      </c>
    </row>
    <row r="106" spans="1:5" x14ac:dyDescent="0.25">
      <c r="A106" t="s">
        <v>5</v>
      </c>
      <c r="B106">
        <v>1</v>
      </c>
      <c r="C106">
        <v>0.16180551389853101</v>
      </c>
      <c r="D106">
        <v>6960</v>
      </c>
      <c r="E106">
        <v>128.58352565765301</v>
      </c>
    </row>
    <row r="107" spans="1:5" x14ac:dyDescent="0.25">
      <c r="A107" t="s">
        <v>6</v>
      </c>
      <c r="B107">
        <v>1</v>
      </c>
      <c r="C107">
        <v>0.15941662589708899</v>
      </c>
      <c r="D107">
        <v>7002</v>
      </c>
      <c r="E107">
        <v>73.457645416259695</v>
      </c>
    </row>
    <row r="108" spans="1:5" x14ac:dyDescent="0.25">
      <c r="A108" t="s">
        <v>5</v>
      </c>
      <c r="B108">
        <v>2</v>
      </c>
      <c r="C108">
        <v>0.14044440388679499</v>
      </c>
      <c r="D108">
        <v>6960</v>
      </c>
      <c r="E108">
        <v>145.16970586776699</v>
      </c>
    </row>
    <row r="109" spans="1:5" x14ac:dyDescent="0.25">
      <c r="A109" t="s">
        <v>6</v>
      </c>
      <c r="B109">
        <v>2</v>
      </c>
      <c r="C109">
        <v>0.133138848344484</v>
      </c>
      <c r="D109">
        <v>7002</v>
      </c>
      <c r="E109">
        <v>72.444310426711994</v>
      </c>
    </row>
    <row r="110" spans="1:5" x14ac:dyDescent="0.25">
      <c r="A110" t="s">
        <v>5</v>
      </c>
      <c r="B110">
        <v>3</v>
      </c>
      <c r="C110">
        <v>0.122194404800732</v>
      </c>
      <c r="D110">
        <v>6960</v>
      </c>
      <c r="E110">
        <v>119.020038127899</v>
      </c>
    </row>
    <row r="111" spans="1:5" x14ac:dyDescent="0.25">
      <c r="A111" t="s">
        <v>6</v>
      </c>
      <c r="B111">
        <v>3</v>
      </c>
      <c r="C111">
        <v>0.10952773670355399</v>
      </c>
      <c r="D111">
        <v>7002</v>
      </c>
      <c r="E111">
        <v>82.832684993743896</v>
      </c>
    </row>
    <row r="112" spans="1:5" x14ac:dyDescent="0.25">
      <c r="A112" t="s">
        <v>5</v>
      </c>
      <c r="B112">
        <v>4</v>
      </c>
      <c r="C112">
        <v>9.8166624506314595E-2</v>
      </c>
      <c r="D112">
        <v>6960</v>
      </c>
      <c r="E112">
        <v>135.51490736007599</v>
      </c>
    </row>
    <row r="113" spans="1:5" x14ac:dyDescent="0.25">
      <c r="A113" t="s">
        <v>6</v>
      </c>
      <c r="B113">
        <v>4</v>
      </c>
      <c r="C113">
        <v>8.5361067056655804E-2</v>
      </c>
      <c r="D113">
        <v>7002</v>
      </c>
      <c r="E113">
        <v>68.416446685791001</v>
      </c>
    </row>
    <row r="114" spans="1:5" x14ac:dyDescent="0.25">
      <c r="A114" t="s">
        <v>5</v>
      </c>
      <c r="B114">
        <v>5</v>
      </c>
      <c r="C114">
        <v>8.1444400747616996E-2</v>
      </c>
      <c r="D114">
        <v>6960</v>
      </c>
      <c r="E114">
        <v>128.16853976249601</v>
      </c>
    </row>
    <row r="115" spans="1:5" x14ac:dyDescent="0.25">
      <c r="A115" t="s">
        <v>6</v>
      </c>
      <c r="B115">
        <v>5</v>
      </c>
      <c r="C115">
        <v>6.6277735431989004E-2</v>
      </c>
      <c r="D115">
        <v>7002</v>
      </c>
      <c r="E115">
        <v>88.713777303695593</v>
      </c>
    </row>
    <row r="116" spans="1:5" x14ac:dyDescent="0.25">
      <c r="A116" t="s">
        <v>5</v>
      </c>
      <c r="B116">
        <v>6</v>
      </c>
      <c r="C116">
        <v>6.20832900206248E-2</v>
      </c>
      <c r="D116">
        <v>6960</v>
      </c>
      <c r="E116">
        <v>131.99420833587601</v>
      </c>
    </row>
    <row r="117" spans="1:5" x14ac:dyDescent="0.25">
      <c r="A117" t="s">
        <v>6</v>
      </c>
      <c r="B117">
        <v>6</v>
      </c>
      <c r="C117">
        <v>4.8916626175244601E-2</v>
      </c>
      <c r="D117">
        <v>7002</v>
      </c>
      <c r="E117">
        <v>88.181273221969604</v>
      </c>
    </row>
    <row r="118" spans="1:5" x14ac:dyDescent="0.25">
      <c r="A118" t="s">
        <v>5</v>
      </c>
      <c r="B118">
        <v>8</v>
      </c>
      <c r="C118">
        <v>3.3638852636019297E-2</v>
      </c>
      <c r="D118">
        <v>6960</v>
      </c>
      <c r="E118">
        <v>127.463388681411</v>
      </c>
    </row>
    <row r="119" spans="1:5" x14ac:dyDescent="0.25">
      <c r="A119" t="s">
        <v>6</v>
      </c>
      <c r="B119">
        <v>8</v>
      </c>
      <c r="C119">
        <v>2.4472191135088601E-2</v>
      </c>
      <c r="D119">
        <v>7002</v>
      </c>
      <c r="E119">
        <v>74.833699941635103</v>
      </c>
    </row>
    <row r="120" spans="1:5" x14ac:dyDescent="0.25">
      <c r="A120" t="s">
        <v>5</v>
      </c>
      <c r="B120">
        <v>9</v>
      </c>
      <c r="C120">
        <v>2.21666385730107E-2</v>
      </c>
      <c r="D120">
        <v>6960</v>
      </c>
      <c r="E120">
        <v>131.55743646621701</v>
      </c>
    </row>
    <row r="121" spans="1:5" x14ac:dyDescent="0.25">
      <c r="A121" t="s">
        <v>6</v>
      </c>
      <c r="B121">
        <v>9</v>
      </c>
      <c r="C121">
        <v>1.41388654708862E-2</v>
      </c>
      <c r="D121">
        <v>7002</v>
      </c>
      <c r="E121">
        <v>68.503425359725895</v>
      </c>
    </row>
    <row r="122" spans="1:5" x14ac:dyDescent="0.25">
      <c r="A122" t="s">
        <v>5</v>
      </c>
      <c r="B122">
        <v>10</v>
      </c>
      <c r="C122">
        <v>1.4027759830156901E-2</v>
      </c>
      <c r="D122">
        <v>6960</v>
      </c>
      <c r="E122">
        <v>133.26737189292899</v>
      </c>
    </row>
    <row r="123" spans="1:5" x14ac:dyDescent="0.25">
      <c r="A123" t="s">
        <v>6</v>
      </c>
      <c r="B123">
        <v>10</v>
      </c>
      <c r="C123">
        <v>1.1138870120048499E-2</v>
      </c>
      <c r="D123">
        <v>7002</v>
      </c>
      <c r="E123">
        <v>92.615960359573293</v>
      </c>
    </row>
    <row r="124" spans="1:5" x14ac:dyDescent="0.25">
      <c r="A124" t="s">
        <v>5</v>
      </c>
      <c r="B124">
        <v>11</v>
      </c>
      <c r="C124">
        <v>5.0833249092102004E-3</v>
      </c>
      <c r="D124">
        <v>6960</v>
      </c>
      <c r="E124">
        <v>128.33584260940501</v>
      </c>
    </row>
    <row r="125" spans="1:5" x14ac:dyDescent="0.25">
      <c r="A125" t="s">
        <v>6</v>
      </c>
      <c r="B125">
        <v>11</v>
      </c>
      <c r="C125">
        <v>4.88888005415598E-3</v>
      </c>
      <c r="D125">
        <v>7002</v>
      </c>
      <c r="E125">
        <v>88.020815610885606</v>
      </c>
    </row>
    <row r="126" spans="1:5" x14ac:dyDescent="0.25">
      <c r="A126" t="s">
        <v>5</v>
      </c>
      <c r="B126">
        <v>12</v>
      </c>
      <c r="C126">
        <v>2.31943547725677E-3</v>
      </c>
      <c r="D126">
        <v>6960</v>
      </c>
      <c r="E126">
        <v>159.950160741806</v>
      </c>
    </row>
    <row r="127" spans="1:5" x14ac:dyDescent="0.25">
      <c r="A127" t="s">
        <v>6</v>
      </c>
      <c r="B127">
        <v>12</v>
      </c>
      <c r="C127">
        <v>1.7361021041870099E-3</v>
      </c>
      <c r="D127">
        <v>7002</v>
      </c>
      <c r="E127">
        <v>126.155032873153</v>
      </c>
    </row>
    <row r="128" spans="1:5" x14ac:dyDescent="0.25">
      <c r="A128" t="s">
        <v>5</v>
      </c>
      <c r="B128">
        <v>13</v>
      </c>
      <c r="C128">
        <v>9.4444096088409403E-4</v>
      </c>
      <c r="D128">
        <v>6960</v>
      </c>
      <c r="E128">
        <v>147.72237086295999</v>
      </c>
    </row>
    <row r="129" spans="1:5" x14ac:dyDescent="0.25">
      <c r="A129" t="s">
        <v>6</v>
      </c>
      <c r="B129">
        <v>13</v>
      </c>
      <c r="C129">
        <v>1.26388152440389E-3</v>
      </c>
      <c r="D129">
        <v>7002</v>
      </c>
      <c r="E129">
        <v>119.417485237121</v>
      </c>
    </row>
    <row r="130" spans="1:5" x14ac:dyDescent="0.25">
      <c r="A130" t="s">
        <v>5</v>
      </c>
      <c r="B130">
        <v>14</v>
      </c>
      <c r="C130">
        <v>4.1666587193806898E-4</v>
      </c>
      <c r="D130">
        <v>6960</v>
      </c>
      <c r="E130">
        <v>444.04210329055701</v>
      </c>
    </row>
    <row r="131" spans="1:5" x14ac:dyDescent="0.25">
      <c r="A131" t="s">
        <v>6</v>
      </c>
      <c r="B131">
        <v>14</v>
      </c>
      <c r="C131">
        <v>6.2036772569020501E-4</v>
      </c>
      <c r="D131">
        <v>7002</v>
      </c>
      <c r="E131">
        <v>115.637030601501</v>
      </c>
    </row>
    <row r="132" spans="1:5" x14ac:dyDescent="0.25">
      <c r="A132" t="s">
        <v>5</v>
      </c>
      <c r="B132">
        <v>15</v>
      </c>
      <c r="C132" s="1">
        <v>9.2592040697733497E-5</v>
      </c>
      <c r="D132">
        <v>6960</v>
      </c>
      <c r="E132">
        <v>193.498245716094</v>
      </c>
    </row>
    <row r="133" spans="1:5" x14ac:dyDescent="0.25">
      <c r="A133" t="s">
        <v>6</v>
      </c>
      <c r="B133">
        <v>15</v>
      </c>
      <c r="C133">
        <v>2.8703590234120598E-4</v>
      </c>
      <c r="D133">
        <v>7002</v>
      </c>
      <c r="E133">
        <v>112.11960458755399</v>
      </c>
    </row>
    <row r="134" spans="1:5" x14ac:dyDescent="0.25">
      <c r="A134" t="s">
        <v>5</v>
      </c>
      <c r="B134">
        <v>16</v>
      </c>
      <c r="C134" s="1">
        <v>2.7777751286824498E-5</v>
      </c>
      <c r="D134">
        <v>6960</v>
      </c>
      <c r="E134">
        <v>183.63822031021101</v>
      </c>
    </row>
    <row r="135" spans="1:5" x14ac:dyDescent="0.25">
      <c r="A135" t="s">
        <v>6</v>
      </c>
      <c r="B135">
        <v>16</v>
      </c>
      <c r="C135" s="1">
        <v>3.7036736806233697E-5</v>
      </c>
      <c r="D135">
        <v>7002</v>
      </c>
      <c r="E135">
        <v>111.25356292724599</v>
      </c>
    </row>
    <row r="136" spans="1:5" x14ac:dyDescent="0.25">
      <c r="A136" t="s">
        <v>5</v>
      </c>
      <c r="B136">
        <v>17</v>
      </c>
      <c r="C136" s="1">
        <v>2.7777751286824498E-5</v>
      </c>
      <c r="D136">
        <v>6960</v>
      </c>
      <c r="E136">
        <v>191.20422244071901</v>
      </c>
    </row>
    <row r="137" spans="1:5" x14ac:dyDescent="0.25">
      <c r="A137" t="s">
        <v>6</v>
      </c>
      <c r="B137">
        <v>17</v>
      </c>
      <c r="C137" s="1">
        <v>3.7036736806233697E-5</v>
      </c>
      <c r="D137">
        <v>7002</v>
      </c>
      <c r="E137">
        <v>118.409205198287</v>
      </c>
    </row>
    <row r="138" spans="1:5" x14ac:dyDescent="0.25">
      <c r="A138" t="s">
        <v>5</v>
      </c>
      <c r="B138">
        <v>0</v>
      </c>
      <c r="C138">
        <v>0.185666623512903</v>
      </c>
      <c r="D138">
        <v>6960</v>
      </c>
      <c r="E138">
        <v>138.80537605285599</v>
      </c>
    </row>
    <row r="139" spans="1:5" x14ac:dyDescent="0.25">
      <c r="A139" t="s">
        <v>6</v>
      </c>
      <c r="B139">
        <v>0</v>
      </c>
      <c r="C139">
        <v>0.181222180326779</v>
      </c>
      <c r="D139">
        <v>7002</v>
      </c>
      <c r="E139">
        <v>79.333176612854004</v>
      </c>
    </row>
    <row r="140" spans="1:5" x14ac:dyDescent="0.25">
      <c r="A140" t="s">
        <v>5</v>
      </c>
      <c r="B140">
        <v>1</v>
      </c>
      <c r="C140">
        <v>0.16291662355264</v>
      </c>
      <c r="D140">
        <v>6960</v>
      </c>
      <c r="E140">
        <v>133.709675073623</v>
      </c>
    </row>
    <row r="141" spans="1:5" x14ac:dyDescent="0.25">
      <c r="A141" t="s">
        <v>6</v>
      </c>
      <c r="B141">
        <v>1</v>
      </c>
      <c r="C141">
        <v>0.157583291729291</v>
      </c>
      <c r="D141">
        <v>7002</v>
      </c>
      <c r="E141">
        <v>73.1254079341888</v>
      </c>
    </row>
    <row r="142" spans="1:5" x14ac:dyDescent="0.25">
      <c r="A142" t="s">
        <v>5</v>
      </c>
      <c r="B142">
        <v>2</v>
      </c>
      <c r="C142">
        <v>0.141194403568903</v>
      </c>
      <c r="D142">
        <v>6960</v>
      </c>
      <c r="E142">
        <v>128.02273440361</v>
      </c>
    </row>
    <row r="143" spans="1:5" x14ac:dyDescent="0.25">
      <c r="A143" t="s">
        <v>6</v>
      </c>
      <c r="B143">
        <v>2</v>
      </c>
      <c r="C143">
        <v>0.13383329073587999</v>
      </c>
      <c r="D143">
        <v>7002</v>
      </c>
      <c r="E143">
        <v>78.289260387420597</v>
      </c>
    </row>
    <row r="144" spans="1:5" x14ac:dyDescent="0.25">
      <c r="A144" t="s">
        <v>5</v>
      </c>
      <c r="B144">
        <v>3</v>
      </c>
      <c r="C144">
        <v>0.117444403370221</v>
      </c>
      <c r="D144">
        <v>6960</v>
      </c>
      <c r="E144">
        <v>139.53429532051001</v>
      </c>
    </row>
    <row r="145" spans="1:5" x14ac:dyDescent="0.25">
      <c r="A145" t="s">
        <v>6</v>
      </c>
      <c r="B145">
        <v>3</v>
      </c>
      <c r="C145">
        <v>0.109361068805058</v>
      </c>
      <c r="D145">
        <v>7002</v>
      </c>
      <c r="E145">
        <v>69.328231334686194</v>
      </c>
    </row>
    <row r="146" spans="1:5" x14ac:dyDescent="0.25">
      <c r="A146" t="s">
        <v>5</v>
      </c>
      <c r="B146">
        <v>4</v>
      </c>
      <c r="C146">
        <v>9.7361070911089503E-2</v>
      </c>
      <c r="D146">
        <v>6960</v>
      </c>
      <c r="E146">
        <v>118.65753245353601</v>
      </c>
    </row>
    <row r="147" spans="1:5" x14ac:dyDescent="0.25">
      <c r="A147" t="s">
        <v>6</v>
      </c>
      <c r="B147">
        <v>4</v>
      </c>
      <c r="C147">
        <v>8.7305511434872904E-2</v>
      </c>
      <c r="D147">
        <v>7002</v>
      </c>
      <c r="E147">
        <v>67.5308740139007</v>
      </c>
    </row>
    <row r="148" spans="1:5" x14ac:dyDescent="0.25">
      <c r="A148" t="s">
        <v>5</v>
      </c>
      <c r="B148">
        <v>5</v>
      </c>
      <c r="C148">
        <v>7.6249957084655706E-2</v>
      </c>
      <c r="D148">
        <v>6960</v>
      </c>
      <c r="E148">
        <v>116.493765354156</v>
      </c>
    </row>
    <row r="149" spans="1:5" x14ac:dyDescent="0.25">
      <c r="A149" t="s">
        <v>6</v>
      </c>
      <c r="B149">
        <v>5</v>
      </c>
      <c r="C149">
        <v>6.8138843973477595E-2</v>
      </c>
      <c r="D149">
        <v>7002</v>
      </c>
      <c r="E149">
        <v>66.893645048141394</v>
      </c>
    </row>
    <row r="150" spans="1:5" x14ac:dyDescent="0.25">
      <c r="A150" t="s">
        <v>5</v>
      </c>
      <c r="B150">
        <v>6</v>
      </c>
      <c r="C150">
        <v>6.2861069242159506E-2</v>
      </c>
      <c r="D150">
        <v>6960</v>
      </c>
      <c r="E150">
        <v>119.40206170082</v>
      </c>
    </row>
    <row r="151" spans="1:5" x14ac:dyDescent="0.25">
      <c r="A151" t="s">
        <v>6</v>
      </c>
      <c r="B151">
        <v>6</v>
      </c>
      <c r="C151">
        <v>5.1638847390810601E-2</v>
      </c>
      <c r="D151">
        <v>7002</v>
      </c>
      <c r="E151">
        <v>81.937096595764103</v>
      </c>
    </row>
    <row r="152" spans="1:5" x14ac:dyDescent="0.25">
      <c r="A152" t="s">
        <v>5</v>
      </c>
      <c r="B152">
        <v>8</v>
      </c>
      <c r="C152">
        <v>3.5388853947321497E-2</v>
      </c>
      <c r="D152">
        <v>6960</v>
      </c>
      <c r="E152">
        <v>145.14093971252399</v>
      </c>
    </row>
    <row r="153" spans="1:5" x14ac:dyDescent="0.25">
      <c r="A153" t="s">
        <v>6</v>
      </c>
      <c r="B153">
        <v>8</v>
      </c>
      <c r="C153">
        <v>2.5111077825228301E-2</v>
      </c>
      <c r="D153">
        <v>7002</v>
      </c>
      <c r="E153">
        <v>81.121041297912598</v>
      </c>
    </row>
    <row r="154" spans="1:5" x14ac:dyDescent="0.25">
      <c r="A154" t="s">
        <v>5</v>
      </c>
      <c r="B154">
        <v>9</v>
      </c>
      <c r="C154">
        <v>2.2305528720219899E-2</v>
      </c>
      <c r="D154">
        <v>6960</v>
      </c>
      <c r="E154">
        <v>144.82227945327699</v>
      </c>
    </row>
    <row r="155" spans="1:5" x14ac:dyDescent="0.25">
      <c r="A155" t="s">
        <v>6</v>
      </c>
      <c r="B155">
        <v>9</v>
      </c>
      <c r="C155">
        <v>1.4666644334793E-2</v>
      </c>
      <c r="D155">
        <v>7002</v>
      </c>
      <c r="E155">
        <v>76.251746892929006</v>
      </c>
    </row>
    <row r="156" spans="1:5" x14ac:dyDescent="0.25">
      <c r="A156" t="s">
        <v>5</v>
      </c>
      <c r="B156">
        <v>10</v>
      </c>
      <c r="C156">
        <v>1.3749983906745899E-2</v>
      </c>
      <c r="D156">
        <v>6960</v>
      </c>
      <c r="E156">
        <v>125.92647433280899</v>
      </c>
    </row>
    <row r="157" spans="1:5" x14ac:dyDescent="0.25">
      <c r="A157" t="s">
        <v>6</v>
      </c>
      <c r="B157">
        <v>10</v>
      </c>
      <c r="C157">
        <v>9.9999831120173108E-3</v>
      </c>
      <c r="D157">
        <v>7002</v>
      </c>
      <c r="E157">
        <v>76.202239036560002</v>
      </c>
    </row>
    <row r="158" spans="1:5" x14ac:dyDescent="0.25">
      <c r="A158" t="s">
        <v>5</v>
      </c>
      <c r="B158">
        <v>11</v>
      </c>
      <c r="C158">
        <v>7.0833241939544603E-3</v>
      </c>
      <c r="D158">
        <v>6960</v>
      </c>
      <c r="E158">
        <v>118.62195324897699</v>
      </c>
    </row>
    <row r="159" spans="1:5" x14ac:dyDescent="0.25">
      <c r="A159" t="s">
        <v>6</v>
      </c>
      <c r="B159">
        <v>11</v>
      </c>
      <c r="C159">
        <v>6.7222072680791197E-3</v>
      </c>
      <c r="D159">
        <v>7002</v>
      </c>
      <c r="E159">
        <v>70.423766613006507</v>
      </c>
    </row>
    <row r="160" spans="1:5" x14ac:dyDescent="0.25">
      <c r="A160" t="s">
        <v>5</v>
      </c>
      <c r="B160">
        <v>12</v>
      </c>
      <c r="C160">
        <v>2.8749889135360699E-3</v>
      </c>
      <c r="D160">
        <v>6960</v>
      </c>
      <c r="E160">
        <v>138.549971580505</v>
      </c>
    </row>
    <row r="161" spans="1:5" x14ac:dyDescent="0.25">
      <c r="A161" t="s">
        <v>6</v>
      </c>
      <c r="B161">
        <v>12</v>
      </c>
      <c r="C161">
        <v>1.77776853243509E-3</v>
      </c>
      <c r="D161">
        <v>7002</v>
      </c>
      <c r="E161">
        <v>85.323368787765503</v>
      </c>
    </row>
    <row r="162" spans="1:5" x14ac:dyDescent="0.25">
      <c r="A162" t="s">
        <v>5</v>
      </c>
      <c r="B162">
        <v>13</v>
      </c>
      <c r="C162">
        <v>1.2222184737523301E-3</v>
      </c>
      <c r="D162">
        <v>6960</v>
      </c>
      <c r="E162">
        <v>163.287717342376</v>
      </c>
    </row>
    <row r="163" spans="1:5" x14ac:dyDescent="0.25">
      <c r="A163" t="s">
        <v>6</v>
      </c>
      <c r="B163">
        <v>13</v>
      </c>
      <c r="C163">
        <v>6.6666344801584801E-4</v>
      </c>
      <c r="D163">
        <v>7002</v>
      </c>
      <c r="E163">
        <v>87.997276544570894</v>
      </c>
    </row>
    <row r="164" spans="1:5" x14ac:dyDescent="0.25">
      <c r="A164" t="s">
        <v>5</v>
      </c>
      <c r="B164">
        <v>14</v>
      </c>
      <c r="C164">
        <v>3.6110997200012202E-4</v>
      </c>
      <c r="D164">
        <v>6960</v>
      </c>
      <c r="E164">
        <v>192.884022474288</v>
      </c>
    </row>
    <row r="165" spans="1:5" x14ac:dyDescent="0.25">
      <c r="A165" t="s">
        <v>6</v>
      </c>
      <c r="B165">
        <v>14</v>
      </c>
      <c r="C165">
        <v>4.07405296961466E-4</v>
      </c>
      <c r="D165">
        <v>7002</v>
      </c>
      <c r="E165">
        <v>99.205550193786607</v>
      </c>
    </row>
    <row r="166" spans="1:5" x14ac:dyDescent="0.25">
      <c r="A166" t="s">
        <v>5</v>
      </c>
      <c r="B166">
        <v>15</v>
      </c>
      <c r="C166" s="1">
        <v>5.5555105209350501E-5</v>
      </c>
      <c r="D166">
        <v>6960</v>
      </c>
      <c r="E166">
        <v>168.57663369178701</v>
      </c>
    </row>
    <row r="167" spans="1:5" x14ac:dyDescent="0.25">
      <c r="A167" t="s">
        <v>6</v>
      </c>
      <c r="B167">
        <v>15</v>
      </c>
      <c r="C167" s="1">
        <v>3.7036736806233697E-5</v>
      </c>
      <c r="D167">
        <v>7002</v>
      </c>
      <c r="E167">
        <v>99.595018148422199</v>
      </c>
    </row>
    <row r="168" spans="1:5" x14ac:dyDescent="0.25">
      <c r="A168" t="s">
        <v>5</v>
      </c>
      <c r="B168">
        <v>16</v>
      </c>
      <c r="C168" s="1">
        <v>2.7777751286824498E-5</v>
      </c>
      <c r="D168">
        <v>6960</v>
      </c>
      <c r="E168">
        <v>168.57492780685399</v>
      </c>
    </row>
    <row r="169" spans="1:5" x14ac:dyDescent="0.25">
      <c r="A169" t="s">
        <v>6</v>
      </c>
      <c r="B169">
        <v>16</v>
      </c>
      <c r="C169" s="1">
        <v>5.5555502573648997E-5</v>
      </c>
      <c r="D169">
        <v>7002</v>
      </c>
      <c r="E169">
        <v>99.462479829788194</v>
      </c>
    </row>
    <row r="170" spans="1:5" x14ac:dyDescent="0.25">
      <c r="A170" t="s">
        <v>5</v>
      </c>
      <c r="B170">
        <v>17</v>
      </c>
      <c r="C170">
        <v>0</v>
      </c>
      <c r="D170">
        <v>6960</v>
      </c>
      <c r="E170">
        <v>167.98815941810599</v>
      </c>
    </row>
    <row r="171" spans="1:5" x14ac:dyDescent="0.25">
      <c r="A171" t="s">
        <v>6</v>
      </c>
      <c r="B171">
        <v>17</v>
      </c>
      <c r="C171" s="1">
        <v>1.8518368403116801E-5</v>
      </c>
      <c r="D171">
        <v>7002</v>
      </c>
      <c r="E171">
        <v>99.463668584823594</v>
      </c>
    </row>
    <row r="172" spans="1:5" x14ac:dyDescent="0.25">
      <c r="A172" t="s">
        <v>5</v>
      </c>
      <c r="B172">
        <v>0</v>
      </c>
      <c r="C172">
        <v>0.18486106852690301</v>
      </c>
      <c r="D172">
        <v>6960</v>
      </c>
      <c r="E172">
        <v>113.521780490875</v>
      </c>
    </row>
    <row r="173" spans="1:5" x14ac:dyDescent="0.25">
      <c r="A173" t="s">
        <v>6</v>
      </c>
      <c r="B173">
        <v>0</v>
      </c>
      <c r="C173">
        <v>0.18055551290512001</v>
      </c>
      <c r="D173">
        <v>7002</v>
      </c>
      <c r="E173">
        <v>64.243182897567706</v>
      </c>
    </row>
    <row r="174" spans="1:5" x14ac:dyDescent="0.25">
      <c r="A174" t="s">
        <v>5</v>
      </c>
      <c r="B174">
        <v>1</v>
      </c>
      <c r="C174">
        <v>0.16619440297285701</v>
      </c>
      <c r="D174">
        <v>6960</v>
      </c>
      <c r="E174">
        <v>113.33926248550399</v>
      </c>
    </row>
    <row r="175" spans="1:5" x14ac:dyDescent="0.25">
      <c r="A175" t="s">
        <v>6</v>
      </c>
      <c r="B175">
        <v>1</v>
      </c>
      <c r="C175">
        <v>0.15638884743054701</v>
      </c>
      <c r="D175">
        <v>7002</v>
      </c>
      <c r="E175">
        <v>64.243709325790405</v>
      </c>
    </row>
    <row r="176" spans="1:5" x14ac:dyDescent="0.25">
      <c r="A176" t="s">
        <v>5</v>
      </c>
      <c r="B176">
        <v>2</v>
      </c>
      <c r="C176">
        <v>0.14058329284191101</v>
      </c>
      <c r="D176">
        <v>6960</v>
      </c>
      <c r="E176">
        <v>113.330442428588</v>
      </c>
    </row>
    <row r="177" spans="1:5" x14ac:dyDescent="0.25">
      <c r="A177" t="s">
        <v>6</v>
      </c>
      <c r="B177">
        <v>2</v>
      </c>
      <c r="C177">
        <v>0.13333329240481001</v>
      </c>
      <c r="D177">
        <v>7002</v>
      </c>
      <c r="E177">
        <v>63.956593751907299</v>
      </c>
    </row>
    <row r="178" spans="1:5" x14ac:dyDescent="0.25">
      <c r="A178" t="s">
        <v>5</v>
      </c>
      <c r="B178">
        <v>3</v>
      </c>
      <c r="C178">
        <v>0.11986107011636001</v>
      </c>
      <c r="D178">
        <v>6960</v>
      </c>
      <c r="E178">
        <v>113.271075010299</v>
      </c>
    </row>
    <row r="179" spans="1:5" x14ac:dyDescent="0.25">
      <c r="A179" t="s">
        <v>6</v>
      </c>
      <c r="B179">
        <v>3</v>
      </c>
      <c r="C179">
        <v>0.110861069361368</v>
      </c>
      <c r="D179">
        <v>7002</v>
      </c>
      <c r="E179">
        <v>64.269169807433997</v>
      </c>
    </row>
    <row r="180" spans="1:5" x14ac:dyDescent="0.25">
      <c r="A180" t="s">
        <v>5</v>
      </c>
      <c r="B180">
        <v>4</v>
      </c>
      <c r="C180">
        <v>9.7444403568903604E-2</v>
      </c>
      <c r="D180">
        <v>6960</v>
      </c>
      <c r="E180">
        <v>113.054845809936</v>
      </c>
    </row>
    <row r="181" spans="1:5" x14ac:dyDescent="0.25">
      <c r="A181" t="s">
        <v>6</v>
      </c>
      <c r="B181">
        <v>4</v>
      </c>
      <c r="C181">
        <v>8.6888845562934802E-2</v>
      </c>
      <c r="D181">
        <v>7002</v>
      </c>
      <c r="E181">
        <v>64.1889262199401</v>
      </c>
    </row>
    <row r="182" spans="1:5" x14ac:dyDescent="0.25">
      <c r="A182" t="s">
        <v>5</v>
      </c>
      <c r="B182">
        <v>5</v>
      </c>
      <c r="C182">
        <v>7.9972178339958094E-2</v>
      </c>
      <c r="D182">
        <v>6960</v>
      </c>
      <c r="E182">
        <v>113.478171825408</v>
      </c>
    </row>
    <row r="183" spans="1:5" x14ac:dyDescent="0.25">
      <c r="A183" t="s">
        <v>6</v>
      </c>
      <c r="B183">
        <v>5</v>
      </c>
      <c r="C183">
        <v>6.5194401542345598E-2</v>
      </c>
      <c r="D183">
        <v>7002</v>
      </c>
      <c r="E183">
        <v>63.976402759552002</v>
      </c>
    </row>
    <row r="184" spans="1:5" x14ac:dyDescent="0.25">
      <c r="A184" t="s">
        <v>5</v>
      </c>
      <c r="B184">
        <v>6</v>
      </c>
      <c r="C184">
        <v>6.3027735153834002E-2</v>
      </c>
      <c r="D184">
        <v>6960</v>
      </c>
      <c r="E184">
        <v>113.135517358779</v>
      </c>
    </row>
    <row r="185" spans="1:5" x14ac:dyDescent="0.25">
      <c r="A185" t="s">
        <v>6</v>
      </c>
      <c r="B185">
        <v>6</v>
      </c>
      <c r="C185">
        <v>4.9138847589492801E-2</v>
      </c>
      <c r="D185">
        <v>7002</v>
      </c>
      <c r="E185">
        <v>64.399530410766602</v>
      </c>
    </row>
    <row r="186" spans="1:5" x14ac:dyDescent="0.25">
      <c r="A186" t="s">
        <v>5</v>
      </c>
      <c r="B186">
        <v>8</v>
      </c>
      <c r="C186">
        <v>3.4555519819259597E-2</v>
      </c>
      <c r="D186">
        <v>6960</v>
      </c>
      <c r="E186">
        <v>113.35462689399699</v>
      </c>
    </row>
    <row r="187" spans="1:5" x14ac:dyDescent="0.25">
      <c r="A187" t="s">
        <v>6</v>
      </c>
      <c r="B187">
        <v>8</v>
      </c>
      <c r="C187">
        <v>2.35833034912745E-2</v>
      </c>
      <c r="D187">
        <v>7002</v>
      </c>
      <c r="E187">
        <v>64.234601259231496</v>
      </c>
    </row>
    <row r="188" spans="1:5" x14ac:dyDescent="0.25">
      <c r="A188" t="s">
        <v>5</v>
      </c>
      <c r="B188">
        <v>9</v>
      </c>
      <c r="C188">
        <v>2.0999974608421301E-2</v>
      </c>
      <c r="D188">
        <v>6960</v>
      </c>
      <c r="E188">
        <v>113.761083841323</v>
      </c>
    </row>
    <row r="189" spans="1:5" x14ac:dyDescent="0.25">
      <c r="A189" t="s">
        <v>6</v>
      </c>
      <c r="B189">
        <v>9</v>
      </c>
      <c r="C189">
        <v>1.55833093325297E-2</v>
      </c>
      <c r="D189">
        <v>7002</v>
      </c>
      <c r="E189">
        <v>64.025178194046006</v>
      </c>
    </row>
    <row r="190" spans="1:5" x14ac:dyDescent="0.25">
      <c r="A190" t="s">
        <v>5</v>
      </c>
      <c r="B190">
        <v>10</v>
      </c>
      <c r="C190">
        <v>1.11666512489318E-2</v>
      </c>
      <c r="D190">
        <v>6960</v>
      </c>
      <c r="E190">
        <v>112.808786392211</v>
      </c>
    </row>
    <row r="191" spans="1:5" x14ac:dyDescent="0.25">
      <c r="A191" t="s">
        <v>6</v>
      </c>
      <c r="B191">
        <v>10</v>
      </c>
      <c r="C191">
        <v>9.5555384953816703E-3</v>
      </c>
      <c r="D191">
        <v>7002</v>
      </c>
      <c r="E191">
        <v>64.404135704040499</v>
      </c>
    </row>
    <row r="192" spans="1:5" x14ac:dyDescent="0.25">
      <c r="A192" t="s">
        <v>5</v>
      </c>
      <c r="B192">
        <v>11</v>
      </c>
      <c r="C192">
        <v>5.5833250284194899E-3</v>
      </c>
      <c r="D192">
        <v>6960</v>
      </c>
      <c r="E192">
        <v>112.863503932952</v>
      </c>
    </row>
    <row r="193" spans="1:5" x14ac:dyDescent="0.25">
      <c r="A193" t="s">
        <v>6</v>
      </c>
      <c r="B193">
        <v>11</v>
      </c>
      <c r="C193">
        <v>5.0833243131637503E-3</v>
      </c>
      <c r="D193">
        <v>7002</v>
      </c>
      <c r="E193">
        <v>64.461070537567096</v>
      </c>
    </row>
    <row r="194" spans="1:5" x14ac:dyDescent="0.25">
      <c r="A194" t="s">
        <v>5</v>
      </c>
      <c r="B194">
        <v>12</v>
      </c>
      <c r="C194">
        <v>2.0555480321248301E-3</v>
      </c>
      <c r="D194">
        <v>6960</v>
      </c>
      <c r="E194">
        <v>129.26523041725099</v>
      </c>
    </row>
    <row r="195" spans="1:5" x14ac:dyDescent="0.25">
      <c r="A195" t="s">
        <v>6</v>
      </c>
      <c r="B195">
        <v>12</v>
      </c>
      <c r="C195">
        <v>2.62498637040456E-3</v>
      </c>
      <c r="D195">
        <v>7002</v>
      </c>
      <c r="E195">
        <v>83.107583999633704</v>
      </c>
    </row>
    <row r="196" spans="1:5" x14ac:dyDescent="0.25">
      <c r="A196" t="s">
        <v>5</v>
      </c>
      <c r="B196">
        <v>13</v>
      </c>
      <c r="C196">
        <v>1.1111066738764401E-3</v>
      </c>
      <c r="D196">
        <v>6960</v>
      </c>
      <c r="E196">
        <v>129.280529022216</v>
      </c>
    </row>
    <row r="197" spans="1:5" x14ac:dyDescent="0.25">
      <c r="A197" t="s">
        <v>6</v>
      </c>
      <c r="B197">
        <v>13</v>
      </c>
      <c r="C197">
        <v>1.26388152440389E-3</v>
      </c>
      <c r="D197">
        <v>7002</v>
      </c>
      <c r="E197">
        <v>82.771979808807302</v>
      </c>
    </row>
    <row r="198" spans="1:5" x14ac:dyDescent="0.25">
      <c r="A198" t="s">
        <v>5</v>
      </c>
      <c r="B198">
        <v>14</v>
      </c>
      <c r="C198">
        <v>4.16665474573771E-4</v>
      </c>
      <c r="D198">
        <v>6960</v>
      </c>
      <c r="E198">
        <v>175.968705654144</v>
      </c>
    </row>
    <row r="199" spans="1:5" x14ac:dyDescent="0.25">
      <c r="A199" t="s">
        <v>6</v>
      </c>
      <c r="B199">
        <v>14</v>
      </c>
      <c r="C199">
        <v>3.8888692855834899E-4</v>
      </c>
      <c r="D199">
        <v>7002</v>
      </c>
      <c r="E199">
        <v>99.783561706542898</v>
      </c>
    </row>
    <row r="200" spans="1:5" x14ac:dyDescent="0.25">
      <c r="A200" t="s">
        <v>5</v>
      </c>
      <c r="B200">
        <v>15</v>
      </c>
      <c r="C200" s="1">
        <v>7.4073870976765896E-5</v>
      </c>
      <c r="D200">
        <v>6960</v>
      </c>
      <c r="E200">
        <v>169.15618586540199</v>
      </c>
    </row>
    <row r="201" spans="1:5" x14ac:dyDescent="0.25">
      <c r="A201" t="s">
        <v>6</v>
      </c>
      <c r="B201">
        <v>15</v>
      </c>
      <c r="C201" s="1">
        <v>9.2592239379882802E-5</v>
      </c>
      <c r="D201">
        <v>7002</v>
      </c>
      <c r="E201">
        <v>98.694466114044104</v>
      </c>
    </row>
    <row r="202" spans="1:5" x14ac:dyDescent="0.25">
      <c r="A202" t="s">
        <v>5</v>
      </c>
      <c r="B202">
        <v>16</v>
      </c>
      <c r="C202" s="1">
        <v>8.33332538604736E-5</v>
      </c>
      <c r="D202">
        <v>6960</v>
      </c>
      <c r="E202">
        <v>169.302463531494</v>
      </c>
    </row>
    <row r="203" spans="1:5" x14ac:dyDescent="0.25">
      <c r="A203" t="s">
        <v>6</v>
      </c>
      <c r="B203">
        <v>16</v>
      </c>
      <c r="C203" s="1">
        <v>2.7777751286824498E-5</v>
      </c>
      <c r="D203">
        <v>7002</v>
      </c>
      <c r="E203">
        <v>102.20019102096499</v>
      </c>
    </row>
    <row r="204" spans="1:5" x14ac:dyDescent="0.25">
      <c r="A204" t="s">
        <v>5</v>
      </c>
      <c r="B204">
        <v>17</v>
      </c>
      <c r="C204" s="1">
        <v>7.4073870976765896E-5</v>
      </c>
      <c r="D204">
        <v>6960</v>
      </c>
      <c r="E204">
        <v>168.79375839233299</v>
      </c>
    </row>
    <row r="205" spans="1:5" x14ac:dyDescent="0.25">
      <c r="A205" t="s">
        <v>6</v>
      </c>
      <c r="B205">
        <v>17</v>
      </c>
      <c r="C205">
        <v>0</v>
      </c>
      <c r="D205">
        <v>7002</v>
      </c>
      <c r="E205">
        <v>100.956665754318</v>
      </c>
    </row>
    <row r="206" spans="1:5" x14ac:dyDescent="0.25">
      <c r="A206" t="s">
        <v>5</v>
      </c>
      <c r="B206">
        <v>0</v>
      </c>
      <c r="C206">
        <v>0.188749956687291</v>
      </c>
      <c r="D206">
        <v>6960</v>
      </c>
      <c r="E206">
        <v>115.420484542846</v>
      </c>
    </row>
    <row r="207" spans="1:5" x14ac:dyDescent="0.25">
      <c r="A207" t="s">
        <v>6</v>
      </c>
      <c r="B207">
        <v>0</v>
      </c>
      <c r="C207">
        <v>0.17991662383079501</v>
      </c>
      <c r="D207">
        <v>7002</v>
      </c>
      <c r="E207">
        <v>66.042277336120605</v>
      </c>
    </row>
    <row r="208" spans="1:5" x14ac:dyDescent="0.25">
      <c r="A208" t="s">
        <v>5</v>
      </c>
      <c r="B208">
        <v>1</v>
      </c>
      <c r="C208">
        <v>0.165305513540903</v>
      </c>
      <c r="D208">
        <v>6960</v>
      </c>
      <c r="E208">
        <v>116.663874626159</v>
      </c>
    </row>
    <row r="209" spans="1:5" x14ac:dyDescent="0.25">
      <c r="A209" t="s">
        <v>6</v>
      </c>
      <c r="B209">
        <v>1</v>
      </c>
      <c r="C209">
        <v>0.15597218235333701</v>
      </c>
      <c r="D209">
        <v>7002</v>
      </c>
      <c r="E209">
        <v>68.182861328125</v>
      </c>
    </row>
    <row r="210" spans="1:5" x14ac:dyDescent="0.25">
      <c r="A210" t="s">
        <v>5</v>
      </c>
      <c r="B210">
        <v>2</v>
      </c>
      <c r="C210">
        <v>0.140611069599787</v>
      </c>
      <c r="D210">
        <v>6960</v>
      </c>
      <c r="E210">
        <v>114.699923038482</v>
      </c>
    </row>
    <row r="211" spans="1:5" x14ac:dyDescent="0.25">
      <c r="A211" t="s">
        <v>6</v>
      </c>
      <c r="B211">
        <v>2</v>
      </c>
      <c r="C211">
        <v>0.13330551366011301</v>
      </c>
      <c r="D211">
        <v>7002</v>
      </c>
      <c r="E211">
        <v>66.750992059707599</v>
      </c>
    </row>
    <row r="212" spans="1:5" x14ac:dyDescent="0.25">
      <c r="A212" t="s">
        <v>5</v>
      </c>
      <c r="B212">
        <v>3</v>
      </c>
      <c r="C212">
        <v>0.119555516441663</v>
      </c>
      <c r="D212">
        <v>6960</v>
      </c>
      <c r="E212">
        <v>129.96900582313501</v>
      </c>
    </row>
    <row r="213" spans="1:5" x14ac:dyDescent="0.25">
      <c r="A213" t="s">
        <v>6</v>
      </c>
      <c r="B213">
        <v>3</v>
      </c>
      <c r="C213">
        <v>0.10955551346143</v>
      </c>
      <c r="D213">
        <v>7002</v>
      </c>
      <c r="E213">
        <v>78.873548507690401</v>
      </c>
    </row>
    <row r="214" spans="1:5" x14ac:dyDescent="0.25">
      <c r="A214" t="s">
        <v>5</v>
      </c>
      <c r="B214">
        <v>4</v>
      </c>
      <c r="C214">
        <v>9.7694401741027795E-2</v>
      </c>
      <c r="D214">
        <v>6960</v>
      </c>
      <c r="E214">
        <v>113.57852649688699</v>
      </c>
    </row>
    <row r="215" spans="1:5" x14ac:dyDescent="0.25">
      <c r="A215" t="s">
        <v>6</v>
      </c>
      <c r="B215">
        <v>4</v>
      </c>
      <c r="C215">
        <v>8.7777732412020304E-2</v>
      </c>
      <c r="D215">
        <v>7002</v>
      </c>
      <c r="E215">
        <v>64.519856691360403</v>
      </c>
    </row>
    <row r="216" spans="1:5" x14ac:dyDescent="0.25">
      <c r="A216" t="s">
        <v>5</v>
      </c>
      <c r="B216">
        <v>5</v>
      </c>
      <c r="C216">
        <v>7.9888844688733404E-2</v>
      </c>
      <c r="D216">
        <v>6960</v>
      </c>
      <c r="E216">
        <v>113.421638011932</v>
      </c>
    </row>
    <row r="217" spans="1:5" x14ac:dyDescent="0.25">
      <c r="A217" t="s">
        <v>6</v>
      </c>
      <c r="B217">
        <v>5</v>
      </c>
      <c r="C217">
        <v>6.9249957601229303E-2</v>
      </c>
      <c r="D217">
        <v>7002</v>
      </c>
      <c r="E217">
        <v>64.223503112792898</v>
      </c>
    </row>
    <row r="218" spans="1:5" x14ac:dyDescent="0.25">
      <c r="A218" t="s">
        <v>5</v>
      </c>
      <c r="B218">
        <v>6</v>
      </c>
      <c r="C218">
        <v>6.3527733882268206E-2</v>
      </c>
      <c r="D218">
        <v>6960</v>
      </c>
      <c r="E218">
        <v>113.355261325836</v>
      </c>
    </row>
    <row r="219" spans="1:5" x14ac:dyDescent="0.25">
      <c r="A219" t="s">
        <v>6</v>
      </c>
      <c r="B219">
        <v>6</v>
      </c>
      <c r="C219">
        <v>4.7916626334190297E-2</v>
      </c>
      <c r="D219">
        <v>7002</v>
      </c>
      <c r="E219">
        <v>64.339952230453406</v>
      </c>
    </row>
    <row r="220" spans="1:5" x14ac:dyDescent="0.25">
      <c r="A220" t="s">
        <v>5</v>
      </c>
      <c r="B220">
        <v>8</v>
      </c>
      <c r="C220">
        <v>3.5361075003941797E-2</v>
      </c>
      <c r="D220">
        <v>6960</v>
      </c>
      <c r="E220">
        <v>113.772829294204</v>
      </c>
    </row>
    <row r="221" spans="1:5" x14ac:dyDescent="0.25">
      <c r="A221" t="s">
        <v>6</v>
      </c>
      <c r="B221">
        <v>8</v>
      </c>
      <c r="C221">
        <v>2.4861079851786198E-2</v>
      </c>
      <c r="D221">
        <v>7002</v>
      </c>
      <c r="E221">
        <v>64.512866258621202</v>
      </c>
    </row>
    <row r="222" spans="1:5" x14ac:dyDescent="0.25">
      <c r="A222" t="s">
        <v>5</v>
      </c>
      <c r="B222">
        <v>9</v>
      </c>
      <c r="C222">
        <v>2.3999970555305401E-2</v>
      </c>
      <c r="D222">
        <v>6960</v>
      </c>
      <c r="E222">
        <v>113.297897577285</v>
      </c>
    </row>
    <row r="223" spans="1:5" x14ac:dyDescent="0.25">
      <c r="A223" t="s">
        <v>6</v>
      </c>
      <c r="B223">
        <v>9</v>
      </c>
      <c r="C223">
        <v>1.48888647556304E-2</v>
      </c>
      <c r="D223">
        <v>7002</v>
      </c>
      <c r="E223">
        <v>64.253662824630695</v>
      </c>
    </row>
    <row r="224" spans="1:5" x14ac:dyDescent="0.25">
      <c r="A224" t="s">
        <v>5</v>
      </c>
      <c r="B224">
        <v>10</v>
      </c>
      <c r="C224">
        <v>1.26110949118932E-2</v>
      </c>
      <c r="D224">
        <v>6960</v>
      </c>
      <c r="E224">
        <v>113.294632911682</v>
      </c>
    </row>
    <row r="225" spans="1:5" x14ac:dyDescent="0.25">
      <c r="A225" t="s">
        <v>6</v>
      </c>
      <c r="B225">
        <v>10</v>
      </c>
      <c r="C225">
        <v>1.2972199916839599E-2</v>
      </c>
      <c r="D225">
        <v>7002</v>
      </c>
      <c r="E225">
        <v>64.330938577651906</v>
      </c>
    </row>
    <row r="226" spans="1:5" x14ac:dyDescent="0.25">
      <c r="A226" t="s">
        <v>5</v>
      </c>
      <c r="B226">
        <v>11</v>
      </c>
      <c r="C226">
        <v>6.4444361130396501E-3</v>
      </c>
      <c r="D226">
        <v>6960</v>
      </c>
      <c r="E226">
        <v>113.48526597023</v>
      </c>
    </row>
    <row r="227" spans="1:5" x14ac:dyDescent="0.25">
      <c r="A227" t="s">
        <v>6</v>
      </c>
      <c r="B227">
        <v>11</v>
      </c>
      <c r="C227">
        <v>8.1944308678309104E-3</v>
      </c>
      <c r="D227">
        <v>7002</v>
      </c>
      <c r="E227">
        <v>64.202934980392399</v>
      </c>
    </row>
    <row r="228" spans="1:5" x14ac:dyDescent="0.25">
      <c r="A228" t="s">
        <v>5</v>
      </c>
      <c r="B228">
        <v>12</v>
      </c>
      <c r="C228">
        <v>2.22221374511718E-3</v>
      </c>
      <c r="D228">
        <v>6960</v>
      </c>
      <c r="E228">
        <v>129.13402915000901</v>
      </c>
    </row>
    <row r="229" spans="1:5" x14ac:dyDescent="0.25">
      <c r="A229" t="s">
        <v>6</v>
      </c>
      <c r="B229">
        <v>12</v>
      </c>
      <c r="C229">
        <v>1.8333242336908901E-3</v>
      </c>
      <c r="D229">
        <v>7002</v>
      </c>
      <c r="E229">
        <v>82.6701979637146</v>
      </c>
    </row>
    <row r="230" spans="1:5" x14ac:dyDescent="0.25">
      <c r="A230" t="s">
        <v>5</v>
      </c>
      <c r="B230">
        <v>13</v>
      </c>
      <c r="C230">
        <v>8.3332896232604897E-4</v>
      </c>
      <c r="D230">
        <v>6960</v>
      </c>
      <c r="E230">
        <v>128.93809509277301</v>
      </c>
    </row>
    <row r="231" spans="1:5" x14ac:dyDescent="0.25">
      <c r="A231" t="s">
        <v>6</v>
      </c>
      <c r="B231">
        <v>13</v>
      </c>
      <c r="C231">
        <v>7.6388478279113697E-4</v>
      </c>
      <c r="D231">
        <v>7002</v>
      </c>
      <c r="E231">
        <v>82.853851556777897</v>
      </c>
    </row>
    <row r="232" spans="1:5" x14ac:dyDescent="0.25">
      <c r="A232" t="s">
        <v>5</v>
      </c>
      <c r="B232">
        <v>14</v>
      </c>
      <c r="C232">
        <v>3.3333241939544598E-4</v>
      </c>
      <c r="D232">
        <v>6960</v>
      </c>
      <c r="E232">
        <v>173.46281003952001</v>
      </c>
    </row>
    <row r="233" spans="1:5" x14ac:dyDescent="0.25">
      <c r="A233" t="s">
        <v>6</v>
      </c>
      <c r="B233">
        <v>14</v>
      </c>
      <c r="C233">
        <v>6.29627108573913E-4</v>
      </c>
      <c r="D233">
        <v>7002</v>
      </c>
      <c r="E233">
        <v>99.680026769638005</v>
      </c>
    </row>
    <row r="234" spans="1:5" x14ac:dyDescent="0.25">
      <c r="A234" t="s">
        <v>5</v>
      </c>
      <c r="B234">
        <v>15</v>
      </c>
      <c r="C234" s="1">
        <v>2.7777751286824498E-5</v>
      </c>
      <c r="D234">
        <v>6960</v>
      </c>
      <c r="E234">
        <v>168.11625385284401</v>
      </c>
    </row>
    <row r="235" spans="1:5" x14ac:dyDescent="0.25">
      <c r="A235" t="s">
        <v>6</v>
      </c>
      <c r="B235">
        <v>15</v>
      </c>
      <c r="C235">
        <v>1.5740672747294101E-4</v>
      </c>
      <c r="D235">
        <v>7002</v>
      </c>
      <c r="E235">
        <v>98.627428293228107</v>
      </c>
    </row>
    <row r="236" spans="1:5" x14ac:dyDescent="0.25">
      <c r="A236" t="s">
        <v>5</v>
      </c>
      <c r="B236">
        <v>16</v>
      </c>
      <c r="C236">
        <v>1.2962937355041499E-4</v>
      </c>
      <c r="D236">
        <v>6960</v>
      </c>
      <c r="E236">
        <v>166.04865908622699</v>
      </c>
    </row>
    <row r="237" spans="1:5" x14ac:dyDescent="0.25">
      <c r="A237" t="s">
        <v>6</v>
      </c>
      <c r="B237">
        <v>16</v>
      </c>
      <c r="C237" s="1">
        <v>1.8518368403116801E-5</v>
      </c>
      <c r="D237">
        <v>7002</v>
      </c>
      <c r="E237">
        <v>99.111071825027395</v>
      </c>
    </row>
    <row r="238" spans="1:5" x14ac:dyDescent="0.25">
      <c r="A238" t="s">
        <v>5</v>
      </c>
      <c r="B238">
        <v>17</v>
      </c>
      <c r="C238" s="1">
        <v>2.7777751286824498E-5</v>
      </c>
      <c r="D238">
        <v>6960</v>
      </c>
      <c r="E238">
        <v>168.555784702301</v>
      </c>
    </row>
    <row r="239" spans="1:5" x14ac:dyDescent="0.25">
      <c r="A239" t="s">
        <v>6</v>
      </c>
      <c r="B239">
        <v>17</v>
      </c>
      <c r="C239" s="1">
        <v>5.55553038914998E-5</v>
      </c>
      <c r="D239">
        <v>7002</v>
      </c>
      <c r="E239">
        <v>99.328614473342896</v>
      </c>
    </row>
    <row r="240" spans="1:5" x14ac:dyDescent="0.25">
      <c r="A240" t="s">
        <v>5</v>
      </c>
      <c r="B240">
        <v>0</v>
      </c>
      <c r="C240">
        <v>0.18477773646513601</v>
      </c>
      <c r="D240">
        <v>6960</v>
      </c>
      <c r="E240">
        <v>113.237811803817</v>
      </c>
    </row>
    <row r="241" spans="1:5" x14ac:dyDescent="0.25">
      <c r="A241" t="s">
        <v>6</v>
      </c>
      <c r="B241">
        <v>0</v>
      </c>
      <c r="C241">
        <v>0.17969440201918199</v>
      </c>
      <c r="D241">
        <v>7002</v>
      </c>
      <c r="E241">
        <v>64.416359663009601</v>
      </c>
    </row>
    <row r="242" spans="1:5" x14ac:dyDescent="0.25">
      <c r="A242" t="s">
        <v>5</v>
      </c>
      <c r="B242">
        <v>1</v>
      </c>
      <c r="C242">
        <v>0.164805512626965</v>
      </c>
      <c r="D242">
        <v>6960</v>
      </c>
      <c r="E242">
        <v>114.805625915527</v>
      </c>
    </row>
    <row r="243" spans="1:5" x14ac:dyDescent="0.25">
      <c r="A243" t="s">
        <v>6</v>
      </c>
      <c r="B243">
        <v>1</v>
      </c>
      <c r="C243">
        <v>0.158472181359926</v>
      </c>
      <c r="D243">
        <v>7002</v>
      </c>
      <c r="E243">
        <v>66.894073486328097</v>
      </c>
    </row>
    <row r="244" spans="1:5" x14ac:dyDescent="0.25">
      <c r="A244" t="s">
        <v>5</v>
      </c>
      <c r="B244">
        <v>2</v>
      </c>
      <c r="C244">
        <v>0.142333292365074</v>
      </c>
      <c r="D244">
        <v>6960</v>
      </c>
      <c r="E244">
        <v>118.225264310836</v>
      </c>
    </row>
    <row r="245" spans="1:5" x14ac:dyDescent="0.25">
      <c r="A245" t="s">
        <v>6</v>
      </c>
      <c r="B245">
        <v>2</v>
      </c>
      <c r="C245">
        <v>0.13211106936136799</v>
      </c>
      <c r="D245">
        <v>7002</v>
      </c>
      <c r="E245">
        <v>65.613005638122502</v>
      </c>
    </row>
    <row r="246" spans="1:5" x14ac:dyDescent="0.25">
      <c r="A246" t="s">
        <v>5</v>
      </c>
      <c r="B246">
        <v>3</v>
      </c>
      <c r="C246">
        <v>0.119833293159802</v>
      </c>
      <c r="D246">
        <v>6960</v>
      </c>
      <c r="E246">
        <v>114.148576021194</v>
      </c>
    </row>
    <row r="247" spans="1:5" x14ac:dyDescent="0.25">
      <c r="A247" t="s">
        <v>6</v>
      </c>
      <c r="B247">
        <v>3</v>
      </c>
      <c r="C247">
        <v>0.110083293120066</v>
      </c>
      <c r="D247">
        <v>7002</v>
      </c>
      <c r="E247">
        <v>65.045645952224703</v>
      </c>
    </row>
    <row r="248" spans="1:5" x14ac:dyDescent="0.25">
      <c r="A248" t="s">
        <v>5</v>
      </c>
      <c r="B248">
        <v>4</v>
      </c>
      <c r="C248">
        <v>9.6444402535756396E-2</v>
      </c>
      <c r="D248">
        <v>6960</v>
      </c>
      <c r="E248">
        <v>114.256385087966</v>
      </c>
    </row>
    <row r="249" spans="1:5" x14ac:dyDescent="0.25">
      <c r="A249" t="s">
        <v>6</v>
      </c>
      <c r="B249">
        <v>4</v>
      </c>
      <c r="C249">
        <v>8.6944400072097694E-2</v>
      </c>
      <c r="D249">
        <v>7002</v>
      </c>
      <c r="E249">
        <v>64.817811965942298</v>
      </c>
    </row>
    <row r="250" spans="1:5" x14ac:dyDescent="0.25">
      <c r="A250" t="s">
        <v>5</v>
      </c>
      <c r="B250">
        <v>5</v>
      </c>
      <c r="C250">
        <v>7.88610682884852E-2</v>
      </c>
      <c r="D250">
        <v>6960</v>
      </c>
      <c r="E250">
        <v>114.084708213806</v>
      </c>
    </row>
    <row r="251" spans="1:5" x14ac:dyDescent="0.25">
      <c r="A251" t="s">
        <v>6</v>
      </c>
      <c r="B251">
        <v>5</v>
      </c>
      <c r="C251">
        <v>6.5305512746175104E-2</v>
      </c>
      <c r="D251">
        <v>7002</v>
      </c>
      <c r="E251">
        <v>65.012795209884601</v>
      </c>
    </row>
    <row r="252" spans="1:5" x14ac:dyDescent="0.25">
      <c r="A252" t="s">
        <v>5</v>
      </c>
      <c r="B252">
        <v>6</v>
      </c>
      <c r="C252">
        <v>6.5444401502609204E-2</v>
      </c>
      <c r="D252">
        <v>6960</v>
      </c>
      <c r="E252">
        <v>114.21577286720201</v>
      </c>
    </row>
    <row r="253" spans="1:5" x14ac:dyDescent="0.25">
      <c r="A253" t="s">
        <v>6</v>
      </c>
      <c r="B253">
        <v>6</v>
      </c>
      <c r="C253">
        <v>5.0888847907384203E-2</v>
      </c>
      <c r="D253">
        <v>7002</v>
      </c>
      <c r="E253">
        <v>64.679980039596501</v>
      </c>
    </row>
    <row r="254" spans="1:5" x14ac:dyDescent="0.25">
      <c r="A254" t="s">
        <v>5</v>
      </c>
      <c r="B254">
        <v>8</v>
      </c>
      <c r="C254">
        <v>3.2944408059120099E-2</v>
      </c>
      <c r="D254">
        <v>6960</v>
      </c>
      <c r="E254">
        <v>114.161762237548</v>
      </c>
    </row>
    <row r="255" spans="1:5" x14ac:dyDescent="0.25">
      <c r="A255" t="s">
        <v>6</v>
      </c>
      <c r="B255">
        <v>8</v>
      </c>
      <c r="C255">
        <v>2.4277748664220101E-2</v>
      </c>
      <c r="D255">
        <v>7002</v>
      </c>
      <c r="E255">
        <v>64.716423749923706</v>
      </c>
    </row>
    <row r="256" spans="1:5" x14ac:dyDescent="0.25">
      <c r="A256" t="s">
        <v>5</v>
      </c>
      <c r="B256">
        <v>9</v>
      </c>
      <c r="C256">
        <v>2.2666638493537901E-2</v>
      </c>
      <c r="D256">
        <v>6960</v>
      </c>
      <c r="E256">
        <v>114.34391617774899</v>
      </c>
    </row>
    <row r="257" spans="1:5" x14ac:dyDescent="0.25">
      <c r="A257" t="s">
        <v>6</v>
      </c>
      <c r="B257">
        <v>9</v>
      </c>
      <c r="C257">
        <v>1.8861085772514299E-2</v>
      </c>
      <c r="D257">
        <v>7002</v>
      </c>
      <c r="E257">
        <v>64.962949037551795</v>
      </c>
    </row>
    <row r="258" spans="1:5" x14ac:dyDescent="0.25">
      <c r="A258" t="s">
        <v>5</v>
      </c>
      <c r="B258">
        <v>10</v>
      </c>
      <c r="C258">
        <v>1.2944427927335101E-2</v>
      </c>
      <c r="D258">
        <v>6960</v>
      </c>
      <c r="E258">
        <v>113.81951594352699</v>
      </c>
    </row>
    <row r="259" spans="1:5" x14ac:dyDescent="0.25">
      <c r="A259" t="s">
        <v>6</v>
      </c>
      <c r="B259">
        <v>10</v>
      </c>
      <c r="C259">
        <v>9.5833170413970898E-3</v>
      </c>
      <c r="D259">
        <v>7002</v>
      </c>
      <c r="E259">
        <v>64.559227943420396</v>
      </c>
    </row>
    <row r="260" spans="1:5" x14ac:dyDescent="0.25">
      <c r="A260" t="s">
        <v>5</v>
      </c>
      <c r="B260">
        <v>11</v>
      </c>
      <c r="C260">
        <v>7.8888781865437806E-3</v>
      </c>
      <c r="D260">
        <v>6960</v>
      </c>
      <c r="E260">
        <v>113.876096725463</v>
      </c>
    </row>
    <row r="261" spans="1:5" x14ac:dyDescent="0.25">
      <c r="A261" t="s">
        <v>6</v>
      </c>
      <c r="B261">
        <v>11</v>
      </c>
      <c r="C261">
        <v>5.8055436611175503E-3</v>
      </c>
      <c r="D261">
        <v>7002</v>
      </c>
      <c r="E261">
        <v>64.878421783447195</v>
      </c>
    </row>
    <row r="262" spans="1:5" x14ac:dyDescent="0.25">
      <c r="A262" t="s">
        <v>5</v>
      </c>
      <c r="B262">
        <v>12</v>
      </c>
      <c r="C262">
        <v>2.2222123543421402E-3</v>
      </c>
      <c r="D262">
        <v>6960</v>
      </c>
      <c r="E262">
        <v>129.40333390235901</v>
      </c>
    </row>
    <row r="263" spans="1:5" x14ac:dyDescent="0.25">
      <c r="A263" t="s">
        <v>6</v>
      </c>
      <c r="B263">
        <v>12</v>
      </c>
      <c r="C263">
        <v>1.5694365898768099E-3</v>
      </c>
      <c r="D263">
        <v>7002</v>
      </c>
      <c r="E263">
        <v>84.307547092437702</v>
      </c>
    </row>
    <row r="264" spans="1:5" x14ac:dyDescent="0.25">
      <c r="A264" t="s">
        <v>5</v>
      </c>
      <c r="B264">
        <v>13</v>
      </c>
      <c r="C264">
        <v>1.11110687255859E-3</v>
      </c>
      <c r="D264">
        <v>6960</v>
      </c>
      <c r="E264">
        <v>129.59804654121399</v>
      </c>
    </row>
    <row r="265" spans="1:5" x14ac:dyDescent="0.25">
      <c r="A265" t="s">
        <v>6</v>
      </c>
      <c r="B265">
        <v>13</v>
      </c>
      <c r="C265">
        <v>1.0555495818455999E-3</v>
      </c>
      <c r="D265">
        <v>7002</v>
      </c>
      <c r="E265">
        <v>84.209535360336304</v>
      </c>
    </row>
    <row r="266" spans="1:5" x14ac:dyDescent="0.25">
      <c r="A266" t="s">
        <v>5</v>
      </c>
      <c r="B266">
        <v>14</v>
      </c>
      <c r="C266">
        <v>3.5185118516286202E-4</v>
      </c>
      <c r="D266">
        <v>6960</v>
      </c>
      <c r="E266">
        <v>174.95666241645799</v>
      </c>
    </row>
    <row r="267" spans="1:5" x14ac:dyDescent="0.25">
      <c r="A267" t="s">
        <v>6</v>
      </c>
      <c r="B267">
        <v>14</v>
      </c>
      <c r="C267">
        <v>4.1666487852732301E-4</v>
      </c>
      <c r="D267">
        <v>7002</v>
      </c>
      <c r="E267">
        <v>100.459148883819</v>
      </c>
    </row>
    <row r="268" spans="1:5" x14ac:dyDescent="0.25">
      <c r="A268" t="s">
        <v>5</v>
      </c>
      <c r="B268">
        <v>15</v>
      </c>
      <c r="C268" s="1">
        <v>2.7777751286824498E-5</v>
      </c>
      <c r="D268">
        <v>6960</v>
      </c>
      <c r="E268">
        <v>170.34976434707599</v>
      </c>
    </row>
    <row r="269" spans="1:5" x14ac:dyDescent="0.25">
      <c r="A269" t="s">
        <v>6</v>
      </c>
      <c r="B269">
        <v>15</v>
      </c>
      <c r="C269">
        <v>1.20369791984558E-4</v>
      </c>
      <c r="D269">
        <v>7002</v>
      </c>
      <c r="E269">
        <v>100.80444478988601</v>
      </c>
    </row>
    <row r="270" spans="1:5" x14ac:dyDescent="0.25">
      <c r="A270" t="s">
        <v>5</v>
      </c>
      <c r="B270">
        <v>16</v>
      </c>
      <c r="C270">
        <v>1.0185162226359E-4</v>
      </c>
      <c r="D270">
        <v>6960</v>
      </c>
      <c r="E270">
        <v>168.98498249053901</v>
      </c>
    </row>
    <row r="271" spans="1:5" x14ac:dyDescent="0.25">
      <c r="A271" t="s">
        <v>6</v>
      </c>
      <c r="B271">
        <v>16</v>
      </c>
      <c r="C271" s="1">
        <v>5.55553038914998E-5</v>
      </c>
      <c r="D271">
        <v>7002</v>
      </c>
      <c r="E271">
        <v>100.67918825149501</v>
      </c>
    </row>
    <row r="272" spans="1:5" x14ac:dyDescent="0.25">
      <c r="A272" t="s">
        <v>5</v>
      </c>
      <c r="B272">
        <v>17</v>
      </c>
      <c r="C272" s="1">
        <v>2.7777751286824498E-5</v>
      </c>
      <c r="D272">
        <v>6960</v>
      </c>
      <c r="E272">
        <v>170.192655324935</v>
      </c>
    </row>
    <row r="273" spans="1:5" x14ac:dyDescent="0.25">
      <c r="A273" t="s">
        <v>6</v>
      </c>
      <c r="B273">
        <v>17</v>
      </c>
      <c r="C273" s="1">
        <v>1.8518368403116801E-5</v>
      </c>
      <c r="D273">
        <v>7002</v>
      </c>
      <c r="E273">
        <v>102.050276756286</v>
      </c>
    </row>
    <row r="274" spans="1:5" x14ac:dyDescent="0.25">
      <c r="A274" t="s">
        <v>5</v>
      </c>
      <c r="B274">
        <v>0</v>
      </c>
      <c r="C274">
        <v>0.184416625301043</v>
      </c>
      <c r="D274">
        <v>6960</v>
      </c>
      <c r="E274">
        <v>113.82048702239901</v>
      </c>
    </row>
    <row r="275" spans="1:5" x14ac:dyDescent="0.25">
      <c r="A275" t="s">
        <v>6</v>
      </c>
      <c r="B275">
        <v>0</v>
      </c>
      <c r="C275">
        <v>0.18069440384705801</v>
      </c>
      <c r="D275">
        <v>7002</v>
      </c>
      <c r="E275">
        <v>64.946155786514197</v>
      </c>
    </row>
    <row r="276" spans="1:5" x14ac:dyDescent="0.25">
      <c r="A276" t="s">
        <v>5</v>
      </c>
      <c r="B276">
        <v>1</v>
      </c>
      <c r="C276">
        <v>0.16699995895226699</v>
      </c>
      <c r="D276">
        <v>6960</v>
      </c>
      <c r="E276">
        <v>114.291238307952</v>
      </c>
    </row>
    <row r="277" spans="1:5" x14ac:dyDescent="0.25">
      <c r="A277" t="s">
        <v>6</v>
      </c>
      <c r="B277">
        <v>1</v>
      </c>
      <c r="C277">
        <v>0.15663884699344599</v>
      </c>
      <c r="D277">
        <v>7002</v>
      </c>
      <c r="E277">
        <v>65.060562372207599</v>
      </c>
    </row>
    <row r="278" spans="1:5" x14ac:dyDescent="0.25">
      <c r="A278" t="s">
        <v>5</v>
      </c>
      <c r="B278">
        <v>2</v>
      </c>
      <c r="C278">
        <v>0.14383329272270201</v>
      </c>
      <c r="D278">
        <v>6960</v>
      </c>
      <c r="E278">
        <v>114.704867124557</v>
      </c>
    </row>
    <row r="279" spans="1:5" x14ac:dyDescent="0.25">
      <c r="A279" t="s">
        <v>6</v>
      </c>
      <c r="B279">
        <v>2</v>
      </c>
      <c r="C279">
        <v>0.13452773650487199</v>
      </c>
      <c r="D279">
        <v>7002</v>
      </c>
      <c r="E279">
        <v>65.0628373622894</v>
      </c>
    </row>
    <row r="280" spans="1:5" x14ac:dyDescent="0.25">
      <c r="A280" t="s">
        <v>5</v>
      </c>
      <c r="B280">
        <v>3</v>
      </c>
      <c r="C280">
        <v>0.12074996113777101</v>
      </c>
      <c r="D280">
        <v>6960</v>
      </c>
      <c r="E280">
        <v>113.997071504592</v>
      </c>
    </row>
    <row r="281" spans="1:5" x14ac:dyDescent="0.25">
      <c r="A281" t="s">
        <v>6</v>
      </c>
      <c r="B281">
        <v>3</v>
      </c>
      <c r="C281">
        <v>0.11116662383079499</v>
      </c>
      <c r="D281">
        <v>7002</v>
      </c>
      <c r="E281">
        <v>64.820541620254502</v>
      </c>
    </row>
    <row r="282" spans="1:5" x14ac:dyDescent="0.25">
      <c r="A282" t="s">
        <v>5</v>
      </c>
      <c r="B282">
        <v>4</v>
      </c>
      <c r="C282">
        <v>9.9027735590934696E-2</v>
      </c>
      <c r="D282">
        <v>6960</v>
      </c>
      <c r="E282">
        <v>114.50826382637</v>
      </c>
    </row>
    <row r="283" spans="1:5" x14ac:dyDescent="0.25">
      <c r="A283" t="s">
        <v>6</v>
      </c>
      <c r="B283">
        <v>4</v>
      </c>
      <c r="C283">
        <v>8.7027735710143994E-2</v>
      </c>
      <c r="D283">
        <v>7002</v>
      </c>
      <c r="E283">
        <v>64.814842939376803</v>
      </c>
    </row>
    <row r="284" spans="1:5" x14ac:dyDescent="0.25">
      <c r="A284" t="s">
        <v>5</v>
      </c>
      <c r="B284">
        <v>5</v>
      </c>
      <c r="C284">
        <v>8.14166224002838E-2</v>
      </c>
      <c r="D284">
        <v>6960</v>
      </c>
      <c r="E284">
        <v>113.955268144607</v>
      </c>
    </row>
    <row r="285" spans="1:5" x14ac:dyDescent="0.25">
      <c r="A285" t="s">
        <v>6</v>
      </c>
      <c r="B285">
        <v>5</v>
      </c>
      <c r="C285">
        <v>6.7194401025772094E-2</v>
      </c>
      <c r="D285">
        <v>7002</v>
      </c>
      <c r="E285">
        <v>65.292917728424001</v>
      </c>
    </row>
    <row r="286" spans="1:5" x14ac:dyDescent="0.25">
      <c r="A286" t="s">
        <v>5</v>
      </c>
      <c r="B286">
        <v>6</v>
      </c>
      <c r="C286">
        <v>6.5388845205306995E-2</v>
      </c>
      <c r="D286">
        <v>6960</v>
      </c>
      <c r="E286">
        <v>114.285175085067</v>
      </c>
    </row>
    <row r="287" spans="1:5" x14ac:dyDescent="0.25">
      <c r="A287" t="s">
        <v>6</v>
      </c>
      <c r="B287">
        <v>6</v>
      </c>
      <c r="C287">
        <v>5.1722179651260303E-2</v>
      </c>
      <c r="D287">
        <v>7002</v>
      </c>
      <c r="E287">
        <v>64.6465420722961</v>
      </c>
    </row>
    <row r="288" spans="1:5" x14ac:dyDescent="0.25">
      <c r="A288" t="s">
        <v>5</v>
      </c>
      <c r="B288">
        <v>8</v>
      </c>
      <c r="C288">
        <v>3.28888535499572E-2</v>
      </c>
      <c r="D288">
        <v>6960</v>
      </c>
      <c r="E288">
        <v>114.725369215011</v>
      </c>
    </row>
    <row r="289" spans="1:5" x14ac:dyDescent="0.25">
      <c r="A289" t="s">
        <v>6</v>
      </c>
      <c r="B289">
        <v>8</v>
      </c>
      <c r="C289">
        <v>2.3277747432390802E-2</v>
      </c>
      <c r="D289">
        <v>7002</v>
      </c>
      <c r="E289">
        <v>65.012138843536306</v>
      </c>
    </row>
    <row r="290" spans="1:5" x14ac:dyDescent="0.25">
      <c r="A290" t="s">
        <v>5</v>
      </c>
      <c r="B290">
        <v>9</v>
      </c>
      <c r="C290">
        <v>2.27221941947937E-2</v>
      </c>
      <c r="D290">
        <v>6960</v>
      </c>
      <c r="E290">
        <v>114.331717967987</v>
      </c>
    </row>
    <row r="291" spans="1:5" x14ac:dyDescent="0.25">
      <c r="A291" t="s">
        <v>6</v>
      </c>
      <c r="B291">
        <v>9</v>
      </c>
      <c r="C291">
        <v>1.4944419264793301E-2</v>
      </c>
      <c r="D291">
        <v>7002</v>
      </c>
      <c r="E291">
        <v>65.134907722473102</v>
      </c>
    </row>
    <row r="292" spans="1:5" x14ac:dyDescent="0.25">
      <c r="A292" t="s">
        <v>5</v>
      </c>
      <c r="B292">
        <v>10</v>
      </c>
      <c r="C292">
        <v>1.3027759591738301E-2</v>
      </c>
      <c r="D292">
        <v>6960</v>
      </c>
      <c r="E292">
        <v>114.36462903022699</v>
      </c>
    </row>
    <row r="293" spans="1:5" x14ac:dyDescent="0.25">
      <c r="A293" t="s">
        <v>6</v>
      </c>
      <c r="B293">
        <v>10</v>
      </c>
      <c r="C293">
        <v>9.4999839862187699E-3</v>
      </c>
      <c r="D293">
        <v>7002</v>
      </c>
      <c r="E293">
        <v>64.8707501888275</v>
      </c>
    </row>
    <row r="294" spans="1:5" x14ac:dyDescent="0.25">
      <c r="A294" t="s">
        <v>5</v>
      </c>
      <c r="B294">
        <v>11</v>
      </c>
      <c r="C294">
        <v>7.3333233594894401E-3</v>
      </c>
      <c r="D294">
        <v>6960</v>
      </c>
      <c r="E294">
        <v>114.544114351272</v>
      </c>
    </row>
    <row r="295" spans="1:5" x14ac:dyDescent="0.25">
      <c r="A295" t="s">
        <v>6</v>
      </c>
      <c r="B295">
        <v>11</v>
      </c>
      <c r="C295">
        <v>4.9999904632568298E-3</v>
      </c>
      <c r="D295">
        <v>7002</v>
      </c>
      <c r="E295">
        <v>64.994579315185504</v>
      </c>
    </row>
    <row r="296" spans="1:5" x14ac:dyDescent="0.25">
      <c r="A296" t="s">
        <v>5</v>
      </c>
      <c r="B296">
        <v>12</v>
      </c>
      <c r="C296">
        <v>2.1944365898768099E-3</v>
      </c>
      <c r="D296">
        <v>6960</v>
      </c>
      <c r="E296">
        <v>129.96757483482301</v>
      </c>
    </row>
    <row r="297" spans="1:5" x14ac:dyDescent="0.25">
      <c r="A297" t="s">
        <v>6</v>
      </c>
      <c r="B297">
        <v>12</v>
      </c>
      <c r="C297">
        <v>1.47221446037292E-3</v>
      </c>
      <c r="D297">
        <v>7002</v>
      </c>
      <c r="E297">
        <v>83.857589483261094</v>
      </c>
    </row>
    <row r="298" spans="1:5" x14ac:dyDescent="0.25">
      <c r="A298" t="s">
        <v>5</v>
      </c>
      <c r="B298">
        <v>13</v>
      </c>
      <c r="C298">
        <v>8.0555299917856797E-4</v>
      </c>
      <c r="D298">
        <v>6960</v>
      </c>
      <c r="E298">
        <v>130.20941257476801</v>
      </c>
    </row>
    <row r="299" spans="1:5" x14ac:dyDescent="0.25">
      <c r="A299" t="s">
        <v>6</v>
      </c>
      <c r="B299">
        <v>13</v>
      </c>
      <c r="C299">
        <v>7.9166193803151404E-4</v>
      </c>
      <c r="D299">
        <v>7002</v>
      </c>
      <c r="E299">
        <v>84.179895162582397</v>
      </c>
    </row>
    <row r="300" spans="1:5" x14ac:dyDescent="0.25">
      <c r="A300" t="s">
        <v>5</v>
      </c>
      <c r="B300">
        <v>14</v>
      </c>
      <c r="C300">
        <v>3.2407303651173902E-4</v>
      </c>
      <c r="D300">
        <v>6960</v>
      </c>
      <c r="E300">
        <v>175.918497085571</v>
      </c>
    </row>
    <row r="301" spans="1:5" x14ac:dyDescent="0.25">
      <c r="A301" t="s">
        <v>6</v>
      </c>
      <c r="B301">
        <v>14</v>
      </c>
      <c r="C301">
        <v>5.6481242179870603E-4</v>
      </c>
      <c r="D301">
        <v>7002</v>
      </c>
      <c r="E301">
        <v>101.222005844116</v>
      </c>
    </row>
    <row r="302" spans="1:5" x14ac:dyDescent="0.25">
      <c r="A302" t="s">
        <v>5</v>
      </c>
      <c r="B302">
        <v>15</v>
      </c>
      <c r="C302" s="1">
        <v>2.7777751286824498E-5</v>
      </c>
      <c r="D302">
        <v>6960</v>
      </c>
      <c r="E302">
        <v>173.90292668342499</v>
      </c>
    </row>
    <row r="303" spans="1:5" x14ac:dyDescent="0.25">
      <c r="A303" t="s">
        <v>6</v>
      </c>
      <c r="B303">
        <v>15</v>
      </c>
      <c r="C303">
        <v>1.29628976186116E-4</v>
      </c>
      <c r="D303">
        <v>7002</v>
      </c>
      <c r="E303">
        <v>101.17361474037099</v>
      </c>
    </row>
    <row r="304" spans="1:5" x14ac:dyDescent="0.25">
      <c r="A304" t="s">
        <v>5</v>
      </c>
      <c r="B304">
        <v>16</v>
      </c>
      <c r="C304" s="1">
        <v>3.7036935488382901E-5</v>
      </c>
      <c r="D304">
        <v>6960</v>
      </c>
      <c r="E304">
        <v>169.71501302719099</v>
      </c>
    </row>
    <row r="305" spans="1:5" x14ac:dyDescent="0.25">
      <c r="A305" t="s">
        <v>6</v>
      </c>
      <c r="B305">
        <v>16</v>
      </c>
      <c r="C305" s="1">
        <v>1.8518368403116801E-5</v>
      </c>
      <c r="D305">
        <v>7002</v>
      </c>
      <c r="E305">
        <v>100.684072494506</v>
      </c>
    </row>
    <row r="306" spans="1:5" x14ac:dyDescent="0.25">
      <c r="A306" t="s">
        <v>5</v>
      </c>
      <c r="B306">
        <v>17</v>
      </c>
      <c r="C306">
        <v>1.75925691922505E-4</v>
      </c>
      <c r="D306">
        <v>6960</v>
      </c>
      <c r="E306">
        <v>170.28790283203099</v>
      </c>
    </row>
    <row r="307" spans="1:5" x14ac:dyDescent="0.25">
      <c r="A307" t="s">
        <v>6</v>
      </c>
      <c r="B307">
        <v>17</v>
      </c>
      <c r="C307" s="1">
        <v>1.8518368403116801E-5</v>
      </c>
      <c r="D307">
        <v>7002</v>
      </c>
      <c r="E307">
        <v>101.486199378967</v>
      </c>
    </row>
    <row r="308" spans="1:5" x14ac:dyDescent="0.25">
      <c r="A308" t="s">
        <v>5</v>
      </c>
      <c r="B308">
        <v>0</v>
      </c>
      <c r="C308">
        <v>0.18661106924215901</v>
      </c>
      <c r="D308">
        <v>6960</v>
      </c>
      <c r="E308">
        <v>114.778784036636</v>
      </c>
    </row>
    <row r="309" spans="1:5" x14ac:dyDescent="0.25">
      <c r="A309" t="s">
        <v>6</v>
      </c>
      <c r="B309">
        <v>0</v>
      </c>
      <c r="C309">
        <v>0.181305513779322</v>
      </c>
      <c r="D309">
        <v>7002</v>
      </c>
      <c r="E309">
        <v>64.645050287246704</v>
      </c>
    </row>
    <row r="310" spans="1:5" x14ac:dyDescent="0.25">
      <c r="A310" t="s">
        <v>5</v>
      </c>
      <c r="B310">
        <v>1</v>
      </c>
      <c r="C310">
        <v>0.16322218020757001</v>
      </c>
      <c r="D310">
        <v>6960</v>
      </c>
      <c r="E310">
        <v>113.11771273612899</v>
      </c>
    </row>
    <row r="311" spans="1:5" x14ac:dyDescent="0.25">
      <c r="A311" t="s">
        <v>6</v>
      </c>
      <c r="B311">
        <v>1</v>
      </c>
      <c r="C311">
        <v>0.156638847788174</v>
      </c>
      <c r="D311">
        <v>7002</v>
      </c>
      <c r="E311">
        <v>65.000425338745103</v>
      </c>
    </row>
    <row r="312" spans="1:5" x14ac:dyDescent="0.25">
      <c r="A312" t="s">
        <v>5</v>
      </c>
      <c r="B312">
        <v>2</v>
      </c>
      <c r="C312">
        <v>0.14266662478446901</v>
      </c>
      <c r="D312">
        <v>6960</v>
      </c>
      <c r="E312">
        <v>114.07413268089201</v>
      </c>
    </row>
    <row r="313" spans="1:5" x14ac:dyDescent="0.25">
      <c r="A313" t="s">
        <v>6</v>
      </c>
      <c r="B313">
        <v>2</v>
      </c>
      <c r="C313">
        <v>0.13163884898026701</v>
      </c>
      <c r="D313">
        <v>7002</v>
      </c>
      <c r="E313">
        <v>64.983028173446598</v>
      </c>
    </row>
    <row r="314" spans="1:5" x14ac:dyDescent="0.25">
      <c r="A314" t="s">
        <v>5</v>
      </c>
      <c r="B314">
        <v>3</v>
      </c>
      <c r="C314">
        <v>0.120777737696965</v>
      </c>
      <c r="D314">
        <v>6960</v>
      </c>
      <c r="E314">
        <v>114.01235270500101</v>
      </c>
    </row>
    <row r="315" spans="1:5" x14ac:dyDescent="0.25">
      <c r="A315" t="s">
        <v>6</v>
      </c>
      <c r="B315">
        <v>3</v>
      </c>
      <c r="C315">
        <v>0.110944401621818</v>
      </c>
      <c r="D315">
        <v>7002</v>
      </c>
      <c r="E315">
        <v>64.769485235214205</v>
      </c>
    </row>
    <row r="316" spans="1:5" x14ac:dyDescent="0.25">
      <c r="A316" t="s">
        <v>5</v>
      </c>
      <c r="B316">
        <v>4</v>
      </c>
      <c r="C316">
        <v>0.10177773674329101</v>
      </c>
      <c r="D316">
        <v>6960</v>
      </c>
      <c r="E316">
        <v>116.22149729728601</v>
      </c>
    </row>
    <row r="317" spans="1:5" x14ac:dyDescent="0.25">
      <c r="A317" t="s">
        <v>6</v>
      </c>
      <c r="B317">
        <v>4</v>
      </c>
      <c r="C317">
        <v>8.6722179651260306E-2</v>
      </c>
      <c r="D317">
        <v>7002</v>
      </c>
      <c r="E317">
        <v>74.908854961395207</v>
      </c>
    </row>
    <row r="318" spans="1:5" x14ac:dyDescent="0.25">
      <c r="A318" t="s">
        <v>5</v>
      </c>
      <c r="B318">
        <v>5</v>
      </c>
      <c r="C318">
        <v>8.3638843894004805E-2</v>
      </c>
      <c r="D318">
        <v>6960</v>
      </c>
      <c r="E318">
        <v>126.029053211212</v>
      </c>
    </row>
    <row r="319" spans="1:5" x14ac:dyDescent="0.25">
      <c r="A319" t="s">
        <v>6</v>
      </c>
      <c r="B319">
        <v>5</v>
      </c>
      <c r="C319">
        <v>6.6027734279632502E-2</v>
      </c>
      <c r="D319">
        <v>7002</v>
      </c>
      <c r="E319">
        <v>69.404437303543006</v>
      </c>
    </row>
    <row r="320" spans="1:5" x14ac:dyDescent="0.25">
      <c r="A320" t="s">
        <v>5</v>
      </c>
      <c r="B320">
        <v>6</v>
      </c>
      <c r="C320">
        <v>6.2194403211275701E-2</v>
      </c>
      <c r="D320">
        <v>6960</v>
      </c>
      <c r="E320">
        <v>147.94878697395299</v>
      </c>
    </row>
    <row r="321" spans="1:5" x14ac:dyDescent="0.25">
      <c r="A321" t="s">
        <v>6</v>
      </c>
      <c r="B321">
        <v>6</v>
      </c>
      <c r="C321">
        <v>5.0416626532872502E-2</v>
      </c>
      <c r="D321">
        <v>7002</v>
      </c>
      <c r="E321">
        <v>89.524013519287095</v>
      </c>
    </row>
    <row r="322" spans="1:5" x14ac:dyDescent="0.25">
      <c r="A322" t="s">
        <v>5</v>
      </c>
      <c r="B322">
        <v>8</v>
      </c>
      <c r="C322">
        <v>3.1777742505073502E-2</v>
      </c>
      <c r="D322">
        <v>6960</v>
      </c>
      <c r="E322">
        <v>148.33261513709999</v>
      </c>
    </row>
    <row r="323" spans="1:5" x14ac:dyDescent="0.25">
      <c r="A323" t="s">
        <v>6</v>
      </c>
      <c r="B323">
        <v>8</v>
      </c>
      <c r="C323">
        <v>2.30555234352747E-2</v>
      </c>
      <c r="D323">
        <v>7002</v>
      </c>
      <c r="E323">
        <v>86.493078231811495</v>
      </c>
    </row>
    <row r="324" spans="1:5" x14ac:dyDescent="0.25">
      <c r="A324" t="s">
        <v>5</v>
      </c>
      <c r="B324">
        <v>9</v>
      </c>
      <c r="C324">
        <v>2.1111088196436499E-2</v>
      </c>
      <c r="D324">
        <v>6960</v>
      </c>
      <c r="E324">
        <v>125.067307472229</v>
      </c>
    </row>
    <row r="325" spans="1:5" x14ac:dyDescent="0.25">
      <c r="A325" t="s">
        <v>6</v>
      </c>
      <c r="B325">
        <v>9</v>
      </c>
      <c r="C325">
        <v>1.7805529435475601E-2</v>
      </c>
      <c r="D325">
        <v>7002</v>
      </c>
      <c r="E325">
        <v>70.246366977691594</v>
      </c>
    </row>
    <row r="326" spans="1:5" x14ac:dyDescent="0.25">
      <c r="A326" t="s">
        <v>5</v>
      </c>
      <c r="B326">
        <v>10</v>
      </c>
      <c r="C326">
        <v>1.33055388927459E-2</v>
      </c>
      <c r="D326">
        <v>6960</v>
      </c>
      <c r="E326">
        <v>124.848407506942</v>
      </c>
    </row>
    <row r="327" spans="1:5" x14ac:dyDescent="0.25">
      <c r="A327" t="s">
        <v>6</v>
      </c>
      <c r="B327">
        <v>10</v>
      </c>
      <c r="C327">
        <v>1.0944425662358599E-2</v>
      </c>
      <c r="D327">
        <v>7002</v>
      </c>
      <c r="E327">
        <v>76.369745969772296</v>
      </c>
    </row>
    <row r="328" spans="1:5" x14ac:dyDescent="0.25">
      <c r="A328" t="s">
        <v>5</v>
      </c>
      <c r="B328">
        <v>11</v>
      </c>
      <c r="C328">
        <v>5.3055483102798402E-3</v>
      </c>
      <c r="D328">
        <v>6960</v>
      </c>
      <c r="E328">
        <v>126.45734500885</v>
      </c>
    </row>
    <row r="329" spans="1:5" x14ac:dyDescent="0.25">
      <c r="A329" t="s">
        <v>6</v>
      </c>
      <c r="B329">
        <v>11</v>
      </c>
      <c r="C329">
        <v>8.4722069899241092E-3</v>
      </c>
      <c r="D329">
        <v>7002</v>
      </c>
      <c r="E329">
        <v>69.816398859024005</v>
      </c>
    </row>
    <row r="330" spans="1:5" x14ac:dyDescent="0.25">
      <c r="A330" t="s">
        <v>5</v>
      </c>
      <c r="B330">
        <v>12</v>
      </c>
      <c r="C330">
        <v>2.1527691682179701E-3</v>
      </c>
      <c r="D330">
        <v>6960</v>
      </c>
      <c r="E330">
        <v>194.79881405830301</v>
      </c>
    </row>
    <row r="331" spans="1:5" x14ac:dyDescent="0.25">
      <c r="A331" t="s">
        <v>6</v>
      </c>
      <c r="B331">
        <v>12</v>
      </c>
      <c r="C331">
        <v>2.34721144040425E-3</v>
      </c>
      <c r="D331">
        <v>7002</v>
      </c>
      <c r="E331">
        <v>106.549413442611</v>
      </c>
    </row>
    <row r="332" spans="1:5" x14ac:dyDescent="0.25">
      <c r="A332" t="s">
        <v>5</v>
      </c>
      <c r="B332">
        <v>13</v>
      </c>
      <c r="C332">
        <v>1.0972181955973301E-3</v>
      </c>
      <c r="D332">
        <v>6960</v>
      </c>
      <c r="E332">
        <v>173.291738033294</v>
      </c>
    </row>
    <row r="333" spans="1:5" x14ac:dyDescent="0.25">
      <c r="A333" t="s">
        <v>6</v>
      </c>
      <c r="B333">
        <v>13</v>
      </c>
      <c r="C333">
        <v>1.4166597525278699E-3</v>
      </c>
      <c r="D333">
        <v>7002</v>
      </c>
      <c r="E333">
        <v>109.02752494812</v>
      </c>
    </row>
    <row r="334" spans="1:5" x14ac:dyDescent="0.25">
      <c r="A334" t="s">
        <v>5</v>
      </c>
      <c r="B334">
        <v>14</v>
      </c>
      <c r="C334">
        <v>2.03702847162882E-4</v>
      </c>
      <c r="D334">
        <v>6960</v>
      </c>
      <c r="E334">
        <v>303.43823051452603</v>
      </c>
    </row>
    <row r="335" spans="1:5" x14ac:dyDescent="0.25">
      <c r="A335" t="s">
        <v>6</v>
      </c>
      <c r="B335">
        <v>14</v>
      </c>
      <c r="C335">
        <v>3.3333162466684898E-4</v>
      </c>
      <c r="D335">
        <v>7002</v>
      </c>
      <c r="E335">
        <v>122.09714722633301</v>
      </c>
    </row>
    <row r="336" spans="1:5" x14ac:dyDescent="0.25">
      <c r="A336" t="s">
        <v>5</v>
      </c>
      <c r="B336">
        <v>15</v>
      </c>
      <c r="C336" s="1">
        <v>9.2592438062031999E-5</v>
      </c>
      <c r="D336">
        <v>6960</v>
      </c>
      <c r="E336">
        <v>259.46502447128199</v>
      </c>
    </row>
    <row r="337" spans="1:5" x14ac:dyDescent="0.25">
      <c r="A337" t="s">
        <v>6</v>
      </c>
      <c r="B337">
        <v>15</v>
      </c>
      <c r="C337">
        <v>1.9444346427917401E-4</v>
      </c>
      <c r="D337">
        <v>7002</v>
      </c>
      <c r="E337">
        <v>108.30209755897501</v>
      </c>
    </row>
    <row r="338" spans="1:5" x14ac:dyDescent="0.25">
      <c r="A338" t="s">
        <v>5</v>
      </c>
      <c r="B338">
        <v>16</v>
      </c>
      <c r="C338">
        <v>1.0185162226359E-4</v>
      </c>
      <c r="D338">
        <v>6960</v>
      </c>
      <c r="E338">
        <v>170.91149449348401</v>
      </c>
    </row>
    <row r="339" spans="1:5" x14ac:dyDescent="0.25">
      <c r="A339" t="s">
        <v>6</v>
      </c>
      <c r="B339">
        <v>16</v>
      </c>
      <c r="C339" s="1">
        <v>5.55553038914998E-5</v>
      </c>
      <c r="D339">
        <v>7002</v>
      </c>
      <c r="E339">
        <v>100.338652133941</v>
      </c>
    </row>
    <row r="340" spans="1:5" x14ac:dyDescent="0.25">
      <c r="A340" t="s">
        <v>5</v>
      </c>
      <c r="B340">
        <v>17</v>
      </c>
      <c r="C340" s="1">
        <v>1.8518368403116801E-5</v>
      </c>
      <c r="D340">
        <v>6960</v>
      </c>
      <c r="E340">
        <v>168.559792041778</v>
      </c>
    </row>
    <row r="341" spans="1:5" x14ac:dyDescent="0.25">
      <c r="A341" t="s">
        <v>6</v>
      </c>
      <c r="B341">
        <v>17</v>
      </c>
      <c r="C341">
        <v>0</v>
      </c>
      <c r="D341">
        <v>7002</v>
      </c>
      <c r="E341">
        <v>99.790705919265704</v>
      </c>
    </row>
    <row r="342" spans="1:5" x14ac:dyDescent="0.25">
      <c r="A342" t="s">
        <v>5</v>
      </c>
      <c r="B342">
        <v>0</v>
      </c>
      <c r="C342">
        <v>0.186722180644671</v>
      </c>
      <c r="D342">
        <v>6960</v>
      </c>
      <c r="E342">
        <v>113.429698228836</v>
      </c>
    </row>
    <row r="343" spans="1:5" x14ac:dyDescent="0.25">
      <c r="A343" t="s">
        <v>6</v>
      </c>
      <c r="B343">
        <v>0</v>
      </c>
      <c r="C343">
        <v>0.18274995724360099</v>
      </c>
      <c r="D343">
        <v>7002</v>
      </c>
      <c r="E343">
        <v>65.154128313064504</v>
      </c>
    </row>
    <row r="344" spans="1:5" x14ac:dyDescent="0.25">
      <c r="A344" t="s">
        <v>5</v>
      </c>
      <c r="B344">
        <v>1</v>
      </c>
      <c r="C344">
        <v>0.16491662363211301</v>
      </c>
      <c r="D344">
        <v>6960</v>
      </c>
      <c r="E344">
        <v>113.03691864013599</v>
      </c>
    </row>
    <row r="345" spans="1:5" x14ac:dyDescent="0.25">
      <c r="A345" t="s">
        <v>6</v>
      </c>
      <c r="B345">
        <v>1</v>
      </c>
      <c r="C345">
        <v>0.157638848026593</v>
      </c>
      <c r="D345">
        <v>7002</v>
      </c>
      <c r="E345">
        <v>65.855261325836096</v>
      </c>
    </row>
    <row r="346" spans="1:5" x14ac:dyDescent="0.25">
      <c r="A346" t="s">
        <v>5</v>
      </c>
      <c r="B346">
        <v>2</v>
      </c>
      <c r="C346">
        <v>0.14569440126419</v>
      </c>
      <c r="D346">
        <v>6960</v>
      </c>
      <c r="E346">
        <v>114.195439815521</v>
      </c>
    </row>
    <row r="347" spans="1:5" x14ac:dyDescent="0.25">
      <c r="A347" t="s">
        <v>6</v>
      </c>
      <c r="B347">
        <v>2</v>
      </c>
      <c r="C347">
        <v>0.13202773690223599</v>
      </c>
      <c r="D347">
        <v>7002</v>
      </c>
      <c r="E347">
        <v>64.618709564208899</v>
      </c>
    </row>
    <row r="348" spans="1:5" x14ac:dyDescent="0.25">
      <c r="A348" t="s">
        <v>5</v>
      </c>
      <c r="B348">
        <v>3</v>
      </c>
      <c r="C348">
        <v>0.12330551485220501</v>
      </c>
      <c r="D348">
        <v>6960</v>
      </c>
      <c r="E348">
        <v>112.711030483245</v>
      </c>
    </row>
    <row r="349" spans="1:5" x14ac:dyDescent="0.25">
      <c r="A349" t="s">
        <v>6</v>
      </c>
      <c r="B349">
        <v>3</v>
      </c>
      <c r="C349">
        <v>0.110472178657849</v>
      </c>
      <c r="D349">
        <v>7002</v>
      </c>
      <c r="E349">
        <v>65.265539646148596</v>
      </c>
    </row>
    <row r="350" spans="1:5" x14ac:dyDescent="0.25">
      <c r="A350" t="s">
        <v>5</v>
      </c>
      <c r="B350">
        <v>4</v>
      </c>
      <c r="C350">
        <v>9.7527736425399705E-2</v>
      </c>
      <c r="D350">
        <v>6960</v>
      </c>
      <c r="E350">
        <v>113.441780805587</v>
      </c>
    </row>
    <row r="351" spans="1:5" x14ac:dyDescent="0.25">
      <c r="A351" t="s">
        <v>6</v>
      </c>
      <c r="B351">
        <v>4</v>
      </c>
      <c r="C351">
        <v>8.6111067334810804E-2</v>
      </c>
      <c r="D351">
        <v>7002</v>
      </c>
      <c r="E351">
        <v>64.921890020370398</v>
      </c>
    </row>
    <row r="352" spans="1:5" x14ac:dyDescent="0.25">
      <c r="A352" t="s">
        <v>5</v>
      </c>
      <c r="B352">
        <v>5</v>
      </c>
      <c r="C352">
        <v>8.1472177902857407E-2</v>
      </c>
      <c r="D352">
        <v>6960</v>
      </c>
      <c r="E352">
        <v>113.605178833007</v>
      </c>
    </row>
    <row r="353" spans="1:5" x14ac:dyDescent="0.25">
      <c r="A353" t="s">
        <v>6</v>
      </c>
      <c r="B353">
        <v>5</v>
      </c>
      <c r="C353">
        <v>6.5055512785911498E-2</v>
      </c>
      <c r="D353">
        <v>7002</v>
      </c>
      <c r="E353">
        <v>65.135412693023596</v>
      </c>
    </row>
    <row r="354" spans="1:5" x14ac:dyDescent="0.25">
      <c r="A354" t="s">
        <v>5</v>
      </c>
      <c r="B354">
        <v>6</v>
      </c>
      <c r="C354">
        <v>6.3305513064066496E-2</v>
      </c>
      <c r="D354">
        <v>6960</v>
      </c>
      <c r="E354">
        <v>112.43004417419399</v>
      </c>
    </row>
    <row r="355" spans="1:5" x14ac:dyDescent="0.25">
      <c r="A355" t="s">
        <v>6</v>
      </c>
      <c r="B355">
        <v>6</v>
      </c>
      <c r="C355">
        <v>4.4944405357042902E-2</v>
      </c>
      <c r="D355">
        <v>7002</v>
      </c>
      <c r="E355">
        <v>63.571997404098497</v>
      </c>
    </row>
    <row r="356" spans="1:5" x14ac:dyDescent="0.25">
      <c r="A356" t="s">
        <v>5</v>
      </c>
      <c r="B356">
        <v>8</v>
      </c>
      <c r="C356">
        <v>3.7249962886174499E-2</v>
      </c>
      <c r="D356">
        <v>6960</v>
      </c>
      <c r="E356">
        <v>112.267638921737</v>
      </c>
    </row>
    <row r="357" spans="1:5" x14ac:dyDescent="0.25">
      <c r="A357" t="s">
        <v>6</v>
      </c>
      <c r="B357">
        <v>8</v>
      </c>
      <c r="C357">
        <v>2.5888857046763102E-2</v>
      </c>
      <c r="D357">
        <v>7002</v>
      </c>
      <c r="E357">
        <v>63.387586832046502</v>
      </c>
    </row>
    <row r="358" spans="1:5" x14ac:dyDescent="0.25">
      <c r="A358" t="s">
        <v>5</v>
      </c>
      <c r="B358">
        <v>9</v>
      </c>
      <c r="C358">
        <v>2.2388860185940999E-2</v>
      </c>
      <c r="D358">
        <v>6960</v>
      </c>
      <c r="E358">
        <v>111.54150891304</v>
      </c>
    </row>
    <row r="359" spans="1:5" x14ac:dyDescent="0.25">
      <c r="A359" t="s">
        <v>6</v>
      </c>
      <c r="B359">
        <v>9</v>
      </c>
      <c r="C359">
        <v>1.7555528879165599E-2</v>
      </c>
      <c r="D359">
        <v>7002</v>
      </c>
      <c r="E359">
        <v>63.555219411849897</v>
      </c>
    </row>
    <row r="360" spans="1:5" x14ac:dyDescent="0.25">
      <c r="A360" t="s">
        <v>5</v>
      </c>
      <c r="B360">
        <v>10</v>
      </c>
      <c r="C360">
        <v>1.45277593533198E-2</v>
      </c>
      <c r="D360">
        <v>6960</v>
      </c>
      <c r="E360">
        <v>112.885750055313</v>
      </c>
    </row>
    <row r="361" spans="1:5" x14ac:dyDescent="0.25">
      <c r="A361" t="s">
        <v>6</v>
      </c>
      <c r="B361">
        <v>10</v>
      </c>
      <c r="C361">
        <v>1.01388702789942E-2</v>
      </c>
      <c r="D361">
        <v>7002</v>
      </c>
      <c r="E361">
        <v>63.504923343658398</v>
      </c>
    </row>
    <row r="362" spans="1:5" x14ac:dyDescent="0.25">
      <c r="A362" t="s">
        <v>5</v>
      </c>
      <c r="B362">
        <v>11</v>
      </c>
      <c r="C362">
        <v>6.77776753902435E-3</v>
      </c>
      <c r="D362">
        <v>6960</v>
      </c>
      <c r="E362">
        <v>111.81532430648799</v>
      </c>
    </row>
    <row r="363" spans="1:5" x14ac:dyDescent="0.25">
      <c r="A363" t="s">
        <v>6</v>
      </c>
      <c r="B363">
        <v>11</v>
      </c>
      <c r="C363">
        <v>6.3055431842803898E-3</v>
      </c>
      <c r="D363">
        <v>7002</v>
      </c>
      <c r="E363">
        <v>63.4875936508178</v>
      </c>
    </row>
    <row r="364" spans="1:5" x14ac:dyDescent="0.25">
      <c r="A364" t="s">
        <v>5</v>
      </c>
      <c r="B364">
        <v>12</v>
      </c>
      <c r="C364">
        <v>2.2499905029932602E-3</v>
      </c>
      <c r="D364">
        <v>6960</v>
      </c>
      <c r="E364">
        <v>127.574594736099</v>
      </c>
    </row>
    <row r="365" spans="1:5" x14ac:dyDescent="0.25">
      <c r="A365" t="s">
        <v>6</v>
      </c>
      <c r="B365">
        <v>12</v>
      </c>
      <c r="C365">
        <v>1.56943500041961E-3</v>
      </c>
      <c r="D365">
        <v>7002</v>
      </c>
      <c r="E365">
        <v>82.137609004974294</v>
      </c>
    </row>
    <row r="366" spans="1:5" x14ac:dyDescent="0.25">
      <c r="A366" t="s">
        <v>5</v>
      </c>
      <c r="B366">
        <v>13</v>
      </c>
      <c r="C366">
        <v>1.26388470331827E-3</v>
      </c>
      <c r="D366">
        <v>6960</v>
      </c>
      <c r="E366">
        <v>127.738877296447</v>
      </c>
    </row>
    <row r="367" spans="1:5" x14ac:dyDescent="0.25">
      <c r="A367" t="s">
        <v>6</v>
      </c>
      <c r="B367">
        <v>13</v>
      </c>
      <c r="C367">
        <v>1.90276662508646E-3</v>
      </c>
      <c r="D367">
        <v>7002</v>
      </c>
      <c r="E367">
        <v>82.336665391921997</v>
      </c>
    </row>
    <row r="368" spans="1:5" x14ac:dyDescent="0.25">
      <c r="A368" t="s">
        <v>5</v>
      </c>
      <c r="B368">
        <v>14</v>
      </c>
      <c r="C368">
        <v>3.6110997200012202E-4</v>
      </c>
      <c r="D368">
        <v>6960</v>
      </c>
      <c r="E368">
        <v>181.49631428718499</v>
      </c>
    </row>
    <row r="369" spans="1:5" x14ac:dyDescent="0.25">
      <c r="A369" t="s">
        <v>6</v>
      </c>
      <c r="B369">
        <v>14</v>
      </c>
      <c r="C369">
        <v>4.3518284956614101E-4</v>
      </c>
      <c r="D369">
        <v>7002</v>
      </c>
      <c r="E369">
        <v>98.705450057983398</v>
      </c>
    </row>
    <row r="370" spans="1:5" x14ac:dyDescent="0.25">
      <c r="A370" t="s">
        <v>5</v>
      </c>
      <c r="B370">
        <v>15</v>
      </c>
      <c r="C370" s="1">
        <v>8.33332538604736E-5</v>
      </c>
      <c r="D370">
        <v>6960</v>
      </c>
      <c r="E370">
        <v>167.762826681137</v>
      </c>
    </row>
    <row r="371" spans="1:5" x14ac:dyDescent="0.25">
      <c r="A371" t="s">
        <v>6</v>
      </c>
      <c r="B371">
        <v>15</v>
      </c>
      <c r="C371">
        <v>2.40739583969116E-4</v>
      </c>
      <c r="D371">
        <v>7002</v>
      </c>
      <c r="E371">
        <v>98.499132871627793</v>
      </c>
    </row>
    <row r="372" spans="1:5" x14ac:dyDescent="0.25">
      <c r="A372" t="s">
        <v>5</v>
      </c>
      <c r="B372">
        <v>16</v>
      </c>
      <c r="C372">
        <v>2.49999364217122E-4</v>
      </c>
      <c r="D372">
        <v>6960</v>
      </c>
      <c r="E372">
        <v>166.28515315055799</v>
      </c>
    </row>
    <row r="373" spans="1:5" x14ac:dyDescent="0.25">
      <c r="A373" t="s">
        <v>6</v>
      </c>
      <c r="B373">
        <v>16</v>
      </c>
      <c r="C373" s="1">
        <v>8.3332856496175098E-5</v>
      </c>
      <c r="D373">
        <v>7002</v>
      </c>
      <c r="E373">
        <v>99.178330183029104</v>
      </c>
    </row>
    <row r="374" spans="1:5" x14ac:dyDescent="0.25">
      <c r="A374" t="s">
        <v>5</v>
      </c>
      <c r="B374">
        <v>17</v>
      </c>
      <c r="C374">
        <v>0</v>
      </c>
      <c r="D374">
        <v>6960</v>
      </c>
      <c r="E374">
        <v>166.47721433639501</v>
      </c>
    </row>
    <row r="375" spans="1:5" x14ac:dyDescent="0.25">
      <c r="A375" t="s">
        <v>6</v>
      </c>
      <c r="B375">
        <v>17</v>
      </c>
      <c r="C375" s="1">
        <v>5.5555502573648997E-5</v>
      </c>
      <c r="D375">
        <v>7002</v>
      </c>
      <c r="E375">
        <v>98.5305078029632</v>
      </c>
    </row>
    <row r="376" spans="1:5" x14ac:dyDescent="0.25">
      <c r="A376" t="s">
        <v>5</v>
      </c>
      <c r="B376">
        <v>0</v>
      </c>
      <c r="C376">
        <v>0.18847218016783299</v>
      </c>
      <c r="D376">
        <v>6960</v>
      </c>
      <c r="E376">
        <v>112.325774431228</v>
      </c>
    </row>
    <row r="377" spans="1:5" x14ac:dyDescent="0.25">
      <c r="A377" t="s">
        <v>6</v>
      </c>
      <c r="B377">
        <v>0</v>
      </c>
      <c r="C377">
        <v>0.18036107023556999</v>
      </c>
      <c r="D377">
        <v>7002</v>
      </c>
      <c r="E377">
        <v>63.654246807098303</v>
      </c>
    </row>
    <row r="378" spans="1:5" x14ac:dyDescent="0.25">
      <c r="A378" t="s">
        <v>5</v>
      </c>
      <c r="B378">
        <v>1</v>
      </c>
      <c r="C378">
        <v>0.162555513978004</v>
      </c>
      <c r="D378">
        <v>6960</v>
      </c>
      <c r="E378">
        <v>112.629772663116</v>
      </c>
    </row>
    <row r="379" spans="1:5" x14ac:dyDescent="0.25">
      <c r="A379" t="s">
        <v>6</v>
      </c>
      <c r="B379">
        <v>1</v>
      </c>
      <c r="C379">
        <v>0.156305513381958</v>
      </c>
      <c r="D379">
        <v>7002</v>
      </c>
      <c r="E379">
        <v>63.656289339065502</v>
      </c>
    </row>
    <row r="380" spans="1:5" x14ac:dyDescent="0.25">
      <c r="A380" t="s">
        <v>5</v>
      </c>
      <c r="B380">
        <v>2</v>
      </c>
      <c r="C380">
        <v>0.14205551405747699</v>
      </c>
      <c r="D380">
        <v>6960</v>
      </c>
      <c r="E380">
        <v>112.488499164581</v>
      </c>
    </row>
    <row r="381" spans="1:5" x14ac:dyDescent="0.25">
      <c r="A381" t="s">
        <v>6</v>
      </c>
      <c r="B381">
        <v>2</v>
      </c>
      <c r="C381">
        <v>0.131694401899973</v>
      </c>
      <c r="D381">
        <v>7002</v>
      </c>
      <c r="E381">
        <v>63.722049474716101</v>
      </c>
    </row>
    <row r="382" spans="1:5" x14ac:dyDescent="0.25">
      <c r="A382" t="s">
        <v>5</v>
      </c>
      <c r="B382">
        <v>3</v>
      </c>
      <c r="C382">
        <v>0.118888849218686</v>
      </c>
      <c r="D382">
        <v>6960</v>
      </c>
      <c r="E382">
        <v>112.030688047409</v>
      </c>
    </row>
    <row r="383" spans="1:5" x14ac:dyDescent="0.25">
      <c r="A383" t="s">
        <v>6</v>
      </c>
      <c r="B383">
        <v>3</v>
      </c>
      <c r="C383">
        <v>0.108222179214159</v>
      </c>
      <c r="D383">
        <v>7002</v>
      </c>
      <c r="E383">
        <v>63.604104518890303</v>
      </c>
    </row>
    <row r="384" spans="1:5" x14ac:dyDescent="0.25">
      <c r="A384" t="s">
        <v>5</v>
      </c>
      <c r="B384">
        <v>4</v>
      </c>
      <c r="C384">
        <v>0.10061106920242301</v>
      </c>
      <c r="D384">
        <v>6960</v>
      </c>
      <c r="E384">
        <v>111.958341121673</v>
      </c>
    </row>
    <row r="385" spans="1:5" x14ac:dyDescent="0.25">
      <c r="A385" t="s">
        <v>6</v>
      </c>
      <c r="B385">
        <v>4</v>
      </c>
      <c r="C385">
        <v>8.9805511633555005E-2</v>
      </c>
      <c r="D385">
        <v>7002</v>
      </c>
      <c r="E385">
        <v>64.122004508972097</v>
      </c>
    </row>
    <row r="386" spans="1:5" x14ac:dyDescent="0.25">
      <c r="A386" t="s">
        <v>5</v>
      </c>
      <c r="B386">
        <v>5</v>
      </c>
      <c r="C386">
        <v>8.0305511355399997E-2</v>
      </c>
      <c r="D386">
        <v>6960</v>
      </c>
      <c r="E386">
        <v>111.85596919059699</v>
      </c>
    </row>
    <row r="387" spans="1:5" x14ac:dyDescent="0.25">
      <c r="A387" t="s">
        <v>6</v>
      </c>
      <c r="B387">
        <v>5</v>
      </c>
      <c r="C387">
        <v>6.69444002707799E-2</v>
      </c>
      <c r="D387">
        <v>7002</v>
      </c>
      <c r="E387">
        <v>63.6208846569061</v>
      </c>
    </row>
    <row r="388" spans="1:5" x14ac:dyDescent="0.25">
      <c r="A388" t="s">
        <v>5</v>
      </c>
      <c r="B388">
        <v>6</v>
      </c>
      <c r="C388">
        <v>6.3277734120686796E-2</v>
      </c>
      <c r="D388">
        <v>6960</v>
      </c>
      <c r="E388">
        <v>111.67930316925001</v>
      </c>
    </row>
    <row r="389" spans="1:5" x14ac:dyDescent="0.25">
      <c r="A389" t="s">
        <v>6</v>
      </c>
      <c r="B389">
        <v>6</v>
      </c>
      <c r="C389">
        <v>4.9611068964004502E-2</v>
      </c>
      <c r="D389">
        <v>7002</v>
      </c>
      <c r="E389">
        <v>63.639641284942599</v>
      </c>
    </row>
    <row r="390" spans="1:5" x14ac:dyDescent="0.25">
      <c r="A390" t="s">
        <v>5</v>
      </c>
      <c r="B390">
        <v>8</v>
      </c>
      <c r="C390">
        <v>3.3777742981910698E-2</v>
      </c>
      <c r="D390">
        <v>6960</v>
      </c>
      <c r="E390">
        <v>112.545031070709</v>
      </c>
    </row>
    <row r="391" spans="1:5" x14ac:dyDescent="0.25">
      <c r="A391" t="s">
        <v>6</v>
      </c>
      <c r="B391">
        <v>8</v>
      </c>
      <c r="C391">
        <v>2.26944120724995E-2</v>
      </c>
      <c r="D391">
        <v>7002</v>
      </c>
      <c r="E391">
        <v>63.7385284900665</v>
      </c>
    </row>
    <row r="392" spans="1:5" x14ac:dyDescent="0.25">
      <c r="A392" t="s">
        <v>5</v>
      </c>
      <c r="B392">
        <v>9</v>
      </c>
      <c r="C392">
        <v>2.2388862768809002E-2</v>
      </c>
      <c r="D392">
        <v>6960</v>
      </c>
      <c r="E392">
        <v>112.683612823486</v>
      </c>
    </row>
    <row r="393" spans="1:5" x14ac:dyDescent="0.25">
      <c r="A393" t="s">
        <v>6</v>
      </c>
      <c r="B393">
        <v>9</v>
      </c>
      <c r="C393">
        <v>1.7999974687894101E-2</v>
      </c>
      <c r="D393">
        <v>7002</v>
      </c>
      <c r="E393">
        <v>63.820754051208397</v>
      </c>
    </row>
    <row r="394" spans="1:5" x14ac:dyDescent="0.25">
      <c r="A394" t="s">
        <v>5</v>
      </c>
      <c r="B394">
        <v>10</v>
      </c>
      <c r="C394">
        <v>1.6555535793304401E-2</v>
      </c>
      <c r="D394">
        <v>6960</v>
      </c>
      <c r="E394">
        <v>112.626771211624</v>
      </c>
    </row>
    <row r="395" spans="1:5" x14ac:dyDescent="0.25">
      <c r="A395" t="s">
        <v>6</v>
      </c>
      <c r="B395">
        <v>10</v>
      </c>
      <c r="C395">
        <v>9.6388715505599902E-3</v>
      </c>
      <c r="D395">
        <v>7002</v>
      </c>
      <c r="E395">
        <v>63.669826030731201</v>
      </c>
    </row>
    <row r="396" spans="1:5" x14ac:dyDescent="0.25">
      <c r="A396" t="s">
        <v>5</v>
      </c>
      <c r="B396">
        <v>11</v>
      </c>
      <c r="C396">
        <v>7.5277680158615098E-3</v>
      </c>
      <c r="D396">
        <v>6960</v>
      </c>
      <c r="E396">
        <v>112.123707771301</v>
      </c>
    </row>
    <row r="397" spans="1:5" x14ac:dyDescent="0.25">
      <c r="A397" t="s">
        <v>6</v>
      </c>
      <c r="B397">
        <v>11</v>
      </c>
      <c r="C397">
        <v>8.1666509310404402E-3</v>
      </c>
      <c r="D397">
        <v>7002</v>
      </c>
      <c r="E397">
        <v>63.8726546764373</v>
      </c>
    </row>
    <row r="398" spans="1:5" x14ac:dyDescent="0.25">
      <c r="A398" t="s">
        <v>5</v>
      </c>
      <c r="B398">
        <v>12</v>
      </c>
      <c r="C398">
        <v>2.1527697642644201E-3</v>
      </c>
      <c r="D398">
        <v>6960</v>
      </c>
      <c r="E398">
        <v>129.04147219657801</v>
      </c>
    </row>
    <row r="399" spans="1:5" x14ac:dyDescent="0.25">
      <c r="A399" t="s">
        <v>6</v>
      </c>
      <c r="B399">
        <v>12</v>
      </c>
      <c r="C399">
        <v>1.4444357156753499E-3</v>
      </c>
      <c r="D399">
        <v>7002</v>
      </c>
      <c r="E399">
        <v>82.348150491714406</v>
      </c>
    </row>
    <row r="400" spans="1:5" x14ac:dyDescent="0.25">
      <c r="A400" t="s">
        <v>5</v>
      </c>
      <c r="B400">
        <v>13</v>
      </c>
      <c r="C400">
        <v>9.5832943916320803E-4</v>
      </c>
      <c r="D400">
        <v>6960</v>
      </c>
      <c r="E400">
        <v>128.45077109336799</v>
      </c>
    </row>
    <row r="401" spans="1:5" x14ac:dyDescent="0.25">
      <c r="A401" t="s">
        <v>6</v>
      </c>
      <c r="B401">
        <v>13</v>
      </c>
      <c r="C401">
        <v>1.3194370269775299E-3</v>
      </c>
      <c r="D401">
        <v>7002</v>
      </c>
      <c r="E401">
        <v>82.467948198318396</v>
      </c>
    </row>
    <row r="402" spans="1:5" x14ac:dyDescent="0.25">
      <c r="A402" t="s">
        <v>5</v>
      </c>
      <c r="B402">
        <v>14</v>
      </c>
      <c r="C402">
        <v>5.5555423100789303E-4</v>
      </c>
      <c r="D402">
        <v>6960</v>
      </c>
      <c r="E402">
        <v>188.80738234519899</v>
      </c>
    </row>
    <row r="403" spans="1:5" x14ac:dyDescent="0.25">
      <c r="A403" t="s">
        <v>6</v>
      </c>
      <c r="B403">
        <v>14</v>
      </c>
      <c r="C403">
        <v>5.9259057044982902E-4</v>
      </c>
      <c r="D403">
        <v>7002</v>
      </c>
      <c r="E403">
        <v>99.165804862976003</v>
      </c>
    </row>
    <row r="404" spans="1:5" x14ac:dyDescent="0.25">
      <c r="A404" t="s">
        <v>5</v>
      </c>
      <c r="B404">
        <v>15</v>
      </c>
      <c r="C404">
        <v>1.7592549324035601E-4</v>
      </c>
      <c r="D404">
        <v>6960</v>
      </c>
      <c r="E404">
        <v>169.881978034973</v>
      </c>
    </row>
    <row r="405" spans="1:5" x14ac:dyDescent="0.25">
      <c r="A405" t="s">
        <v>6</v>
      </c>
      <c r="B405">
        <v>15</v>
      </c>
      <c r="C405">
        <v>2.5925775369008299E-4</v>
      </c>
      <c r="D405">
        <v>7002</v>
      </c>
      <c r="E405">
        <v>98.632558345794607</v>
      </c>
    </row>
    <row r="406" spans="1:5" x14ac:dyDescent="0.25">
      <c r="A406" t="s">
        <v>5</v>
      </c>
      <c r="B406">
        <v>16</v>
      </c>
      <c r="C406" s="1">
        <v>5.5555502573648997E-5</v>
      </c>
      <c r="D406">
        <v>6960</v>
      </c>
      <c r="E406">
        <v>166.88245511054899</v>
      </c>
    </row>
    <row r="407" spans="1:5" x14ac:dyDescent="0.25">
      <c r="A407" t="s">
        <v>6</v>
      </c>
      <c r="B407">
        <v>16</v>
      </c>
      <c r="C407" s="1">
        <v>3.7036736806233697E-5</v>
      </c>
      <c r="D407">
        <v>7002</v>
      </c>
      <c r="E407">
        <v>98.733544826507497</v>
      </c>
    </row>
    <row r="408" spans="1:5" x14ac:dyDescent="0.25">
      <c r="A408" t="s">
        <v>5</v>
      </c>
      <c r="B408">
        <v>17</v>
      </c>
      <c r="C408">
        <v>1.1111100514729799E-4</v>
      </c>
      <c r="D408">
        <v>6960</v>
      </c>
      <c r="E408">
        <v>169.03157734870899</v>
      </c>
    </row>
    <row r="409" spans="1:5" x14ac:dyDescent="0.25">
      <c r="A409" t="s">
        <v>6</v>
      </c>
      <c r="B409">
        <v>17</v>
      </c>
      <c r="C409" s="1">
        <v>3.7036736806233697E-5</v>
      </c>
      <c r="D409">
        <v>7002</v>
      </c>
      <c r="E409">
        <v>98.929738521575899</v>
      </c>
    </row>
    <row r="410" spans="1:5" x14ac:dyDescent="0.25">
      <c r="A410" t="s">
        <v>5</v>
      </c>
      <c r="B410">
        <v>0</v>
      </c>
      <c r="C410">
        <v>0.18711106856664</v>
      </c>
      <c r="D410">
        <v>6960</v>
      </c>
      <c r="E410">
        <v>112.16887974738999</v>
      </c>
    </row>
    <row r="411" spans="1:5" x14ac:dyDescent="0.25">
      <c r="A411" t="s">
        <v>6</v>
      </c>
      <c r="B411">
        <v>0</v>
      </c>
      <c r="C411">
        <v>0.18169440289338401</v>
      </c>
      <c r="D411">
        <v>7002</v>
      </c>
      <c r="E411">
        <v>63.621944427490199</v>
      </c>
    </row>
    <row r="412" spans="1:5" x14ac:dyDescent="0.25">
      <c r="A412" t="s">
        <v>5</v>
      </c>
      <c r="B412">
        <v>1</v>
      </c>
      <c r="C412">
        <v>0.162805513938268</v>
      </c>
      <c r="D412">
        <v>6960</v>
      </c>
      <c r="E412">
        <v>117.038877248764</v>
      </c>
    </row>
    <row r="413" spans="1:5" x14ac:dyDescent="0.25">
      <c r="A413" t="s">
        <v>6</v>
      </c>
      <c r="B413">
        <v>1</v>
      </c>
      <c r="C413">
        <v>0.15752773662408101</v>
      </c>
      <c r="D413">
        <v>7002</v>
      </c>
      <c r="E413">
        <v>67.255321741104098</v>
      </c>
    </row>
    <row r="414" spans="1:5" x14ac:dyDescent="0.25">
      <c r="A414" t="s">
        <v>5</v>
      </c>
      <c r="B414">
        <v>2</v>
      </c>
      <c r="C414">
        <v>0.14327773650487199</v>
      </c>
      <c r="D414">
        <v>6960</v>
      </c>
      <c r="E414">
        <v>115.604606628417</v>
      </c>
    </row>
    <row r="415" spans="1:5" x14ac:dyDescent="0.25">
      <c r="A415" t="s">
        <v>6</v>
      </c>
      <c r="B415">
        <v>2</v>
      </c>
      <c r="C415">
        <v>0.133611069321632</v>
      </c>
      <c r="D415">
        <v>7002</v>
      </c>
      <c r="E415">
        <v>71.453674316406193</v>
      </c>
    </row>
    <row r="416" spans="1:5" x14ac:dyDescent="0.25">
      <c r="A416" t="s">
        <v>5</v>
      </c>
      <c r="B416">
        <v>3</v>
      </c>
      <c r="C416">
        <v>0.11730551461378699</v>
      </c>
      <c r="D416">
        <v>6960</v>
      </c>
      <c r="E416">
        <v>137.985573530197</v>
      </c>
    </row>
    <row r="417" spans="1:5" x14ac:dyDescent="0.25">
      <c r="A417" t="s">
        <v>6</v>
      </c>
      <c r="B417">
        <v>3</v>
      </c>
      <c r="C417">
        <v>0.110194403131802</v>
      </c>
      <c r="D417">
        <v>7002</v>
      </c>
      <c r="E417">
        <v>76.631861925125094</v>
      </c>
    </row>
    <row r="418" spans="1:5" x14ac:dyDescent="0.25">
      <c r="A418" t="s">
        <v>5</v>
      </c>
      <c r="B418">
        <v>4</v>
      </c>
      <c r="C418">
        <v>0.102833291490872</v>
      </c>
      <c r="D418">
        <v>6960</v>
      </c>
      <c r="E418">
        <v>124.330139398574</v>
      </c>
    </row>
    <row r="419" spans="1:5" x14ac:dyDescent="0.25">
      <c r="A419" t="s">
        <v>6</v>
      </c>
      <c r="B419">
        <v>4</v>
      </c>
      <c r="C419">
        <v>8.7833288908004695E-2</v>
      </c>
      <c r="D419">
        <v>7002</v>
      </c>
      <c r="E419">
        <v>76.646771192550602</v>
      </c>
    </row>
    <row r="420" spans="1:5" x14ac:dyDescent="0.25">
      <c r="A420" t="s">
        <v>5</v>
      </c>
      <c r="B420">
        <v>5</v>
      </c>
      <c r="C420">
        <v>8.0416622757911602E-2</v>
      </c>
      <c r="D420">
        <v>6960</v>
      </c>
      <c r="E420">
        <v>124.581378936767</v>
      </c>
    </row>
    <row r="421" spans="1:5" x14ac:dyDescent="0.25">
      <c r="A421" t="s">
        <v>6</v>
      </c>
      <c r="B421">
        <v>5</v>
      </c>
      <c r="C421">
        <v>6.8166624307632401E-2</v>
      </c>
      <c r="D421">
        <v>7002</v>
      </c>
      <c r="E421">
        <v>63.961520195007303</v>
      </c>
    </row>
    <row r="422" spans="1:5" x14ac:dyDescent="0.25">
      <c r="A422" t="s">
        <v>5</v>
      </c>
      <c r="B422">
        <v>6</v>
      </c>
      <c r="C422">
        <v>6.1416623989741001E-2</v>
      </c>
      <c r="D422">
        <v>6960</v>
      </c>
      <c r="E422">
        <v>112.74403738975499</v>
      </c>
    </row>
    <row r="423" spans="1:5" x14ac:dyDescent="0.25">
      <c r="A423" t="s">
        <v>6</v>
      </c>
      <c r="B423">
        <v>6</v>
      </c>
      <c r="C423">
        <v>4.9833292762438398E-2</v>
      </c>
      <c r="D423">
        <v>7002</v>
      </c>
      <c r="E423">
        <v>64.005975961685095</v>
      </c>
    </row>
    <row r="424" spans="1:5" x14ac:dyDescent="0.25">
      <c r="A424" t="s">
        <v>5</v>
      </c>
      <c r="B424">
        <v>8</v>
      </c>
      <c r="C424">
        <v>3.3333298563957198E-2</v>
      </c>
      <c r="D424">
        <v>6960</v>
      </c>
      <c r="E424">
        <v>112.299926757812</v>
      </c>
    </row>
    <row r="425" spans="1:5" x14ac:dyDescent="0.25">
      <c r="A425" t="s">
        <v>6</v>
      </c>
      <c r="B425">
        <v>8</v>
      </c>
      <c r="C425">
        <v>2.4527745246887198E-2</v>
      </c>
      <c r="D425">
        <v>7002</v>
      </c>
      <c r="E425">
        <v>63.961385011672903</v>
      </c>
    </row>
    <row r="426" spans="1:5" x14ac:dyDescent="0.25">
      <c r="A426" t="s">
        <v>5</v>
      </c>
      <c r="B426">
        <v>9</v>
      </c>
      <c r="C426">
        <v>2.2166638771692899E-2</v>
      </c>
      <c r="D426">
        <v>6960</v>
      </c>
      <c r="E426">
        <v>112.59043288230799</v>
      </c>
    </row>
    <row r="427" spans="1:5" x14ac:dyDescent="0.25">
      <c r="A427" t="s">
        <v>6</v>
      </c>
      <c r="B427">
        <v>9</v>
      </c>
      <c r="C427">
        <v>1.4166644612948099E-2</v>
      </c>
      <c r="D427">
        <v>7002</v>
      </c>
      <c r="E427">
        <v>63.881113290786701</v>
      </c>
    </row>
    <row r="428" spans="1:5" x14ac:dyDescent="0.25">
      <c r="A428" t="s">
        <v>5</v>
      </c>
      <c r="B428">
        <v>10</v>
      </c>
      <c r="C428">
        <v>1.32222056388854E-2</v>
      </c>
      <c r="D428">
        <v>6960</v>
      </c>
      <c r="E428">
        <v>112.04511642456001</v>
      </c>
    </row>
    <row r="429" spans="1:5" x14ac:dyDescent="0.25">
      <c r="A429" t="s">
        <v>6</v>
      </c>
      <c r="B429">
        <v>10</v>
      </c>
      <c r="C429">
        <v>7.7777638037999398E-3</v>
      </c>
      <c r="D429">
        <v>7002</v>
      </c>
      <c r="E429">
        <v>63.896615028381298</v>
      </c>
    </row>
    <row r="430" spans="1:5" x14ac:dyDescent="0.25">
      <c r="A430" t="s">
        <v>5</v>
      </c>
      <c r="B430">
        <v>11</v>
      </c>
      <c r="C430">
        <v>6.8611015876134203E-3</v>
      </c>
      <c r="D430">
        <v>6960</v>
      </c>
      <c r="E430">
        <v>112.842051029205</v>
      </c>
    </row>
    <row r="431" spans="1:5" x14ac:dyDescent="0.25">
      <c r="A431" t="s">
        <v>6</v>
      </c>
      <c r="B431">
        <v>11</v>
      </c>
      <c r="C431">
        <v>7.2499877214431702E-3</v>
      </c>
      <c r="D431">
        <v>7002</v>
      </c>
      <c r="E431">
        <v>63.930100202560403</v>
      </c>
    </row>
    <row r="432" spans="1:5" x14ac:dyDescent="0.25">
      <c r="A432" t="s">
        <v>5</v>
      </c>
      <c r="B432">
        <v>12</v>
      </c>
      <c r="C432">
        <v>1.5694389740625999E-3</v>
      </c>
      <c r="D432">
        <v>6960</v>
      </c>
      <c r="E432">
        <v>129.21508908271699</v>
      </c>
    </row>
    <row r="433" spans="1:5" x14ac:dyDescent="0.25">
      <c r="A433" t="s">
        <v>6</v>
      </c>
      <c r="B433">
        <v>12</v>
      </c>
      <c r="C433">
        <v>1.9444354375203401E-3</v>
      </c>
      <c r="D433">
        <v>7002</v>
      </c>
      <c r="E433">
        <v>82.478230953216496</v>
      </c>
    </row>
    <row r="434" spans="1:5" x14ac:dyDescent="0.25">
      <c r="A434" t="s">
        <v>5</v>
      </c>
      <c r="B434">
        <v>13</v>
      </c>
      <c r="C434">
        <v>1.27777377764383E-3</v>
      </c>
      <c r="D434">
        <v>6960</v>
      </c>
      <c r="E434">
        <v>128.34963107108999</v>
      </c>
    </row>
    <row r="435" spans="1:5" x14ac:dyDescent="0.25">
      <c r="A435" t="s">
        <v>6</v>
      </c>
      <c r="B435">
        <v>13</v>
      </c>
      <c r="C435">
        <v>9.7221672534942595E-4</v>
      </c>
      <c r="D435">
        <v>7002</v>
      </c>
      <c r="E435">
        <v>82.887644767761202</v>
      </c>
    </row>
    <row r="436" spans="1:5" x14ac:dyDescent="0.25">
      <c r="A436" t="s">
        <v>5</v>
      </c>
      <c r="B436">
        <v>14</v>
      </c>
      <c r="C436">
        <v>2.22221414248148E-4</v>
      </c>
      <c r="D436">
        <v>6960</v>
      </c>
      <c r="E436">
        <v>180.788459777832</v>
      </c>
    </row>
    <row r="437" spans="1:5" x14ac:dyDescent="0.25">
      <c r="A437" t="s">
        <v>6</v>
      </c>
      <c r="B437">
        <v>14</v>
      </c>
      <c r="C437">
        <v>3.14813057581583E-4</v>
      </c>
      <c r="D437">
        <v>7002</v>
      </c>
      <c r="E437">
        <v>98.879074096679602</v>
      </c>
    </row>
    <row r="438" spans="1:5" x14ac:dyDescent="0.25">
      <c r="A438" t="s">
        <v>5</v>
      </c>
      <c r="B438">
        <v>15</v>
      </c>
      <c r="C438">
        <v>1.3888835906982399E-4</v>
      </c>
      <c r="D438">
        <v>6960</v>
      </c>
      <c r="E438">
        <v>169.886810064315</v>
      </c>
    </row>
    <row r="439" spans="1:5" x14ac:dyDescent="0.25">
      <c r="A439" t="s">
        <v>6</v>
      </c>
      <c r="B439">
        <v>15</v>
      </c>
      <c r="C439" s="1">
        <v>5.55553038914998E-5</v>
      </c>
      <c r="D439">
        <v>7002</v>
      </c>
      <c r="E439">
        <v>98.692791461944495</v>
      </c>
    </row>
    <row r="440" spans="1:5" x14ac:dyDescent="0.25">
      <c r="A440" t="s">
        <v>5</v>
      </c>
      <c r="B440">
        <v>16</v>
      </c>
      <c r="C440" s="1">
        <v>5.55553038914998E-5</v>
      </c>
      <c r="D440">
        <v>6960</v>
      </c>
      <c r="E440">
        <v>168.100046157836</v>
      </c>
    </row>
    <row r="441" spans="1:5" x14ac:dyDescent="0.25">
      <c r="A441" t="s">
        <v>6</v>
      </c>
      <c r="B441">
        <v>16</v>
      </c>
      <c r="C441">
        <v>1.3888835906982399E-4</v>
      </c>
      <c r="D441">
        <v>7002</v>
      </c>
      <c r="E441">
        <v>99.067567348480196</v>
      </c>
    </row>
    <row r="442" spans="1:5" x14ac:dyDescent="0.25">
      <c r="A442" t="s">
        <v>5</v>
      </c>
      <c r="B442">
        <v>17</v>
      </c>
      <c r="C442" s="1">
        <v>8.33332538604736E-5</v>
      </c>
      <c r="D442">
        <v>6960</v>
      </c>
      <c r="E442">
        <v>166.854439735412</v>
      </c>
    </row>
    <row r="443" spans="1:5" x14ac:dyDescent="0.25">
      <c r="A443" t="s">
        <v>6</v>
      </c>
      <c r="B443">
        <v>17</v>
      </c>
      <c r="C443">
        <v>0</v>
      </c>
      <c r="D443">
        <v>7002</v>
      </c>
      <c r="E443">
        <v>100.010639190673</v>
      </c>
    </row>
    <row r="444" spans="1:5" x14ac:dyDescent="0.25">
      <c r="A444" t="s">
        <v>5</v>
      </c>
      <c r="B444">
        <v>0</v>
      </c>
      <c r="C444">
        <v>0.18833329081535299</v>
      </c>
      <c r="D444">
        <v>6960</v>
      </c>
      <c r="E444">
        <v>112.194951057434</v>
      </c>
    </row>
    <row r="445" spans="1:5" x14ac:dyDescent="0.25">
      <c r="A445" t="s">
        <v>6</v>
      </c>
      <c r="B445">
        <v>0</v>
      </c>
      <c r="C445">
        <v>0.17961106916268599</v>
      </c>
      <c r="D445">
        <v>7002</v>
      </c>
      <c r="E445">
        <v>63.882185459136899</v>
      </c>
    </row>
    <row r="446" spans="1:5" x14ac:dyDescent="0.25">
      <c r="A446" t="s">
        <v>5</v>
      </c>
      <c r="B446">
        <v>1</v>
      </c>
      <c r="C446">
        <v>0.163194402058919</v>
      </c>
      <c r="D446">
        <v>6960</v>
      </c>
      <c r="E446">
        <v>112.546715021133</v>
      </c>
    </row>
    <row r="447" spans="1:5" x14ac:dyDescent="0.25">
      <c r="A447" t="s">
        <v>6</v>
      </c>
      <c r="B447">
        <v>1</v>
      </c>
      <c r="C447">
        <v>0.15694440344969399</v>
      </c>
      <c r="D447">
        <v>7002</v>
      </c>
      <c r="E447">
        <v>64.023939609527503</v>
      </c>
    </row>
    <row r="448" spans="1:5" x14ac:dyDescent="0.25">
      <c r="A448" t="s">
        <v>5</v>
      </c>
      <c r="B448">
        <v>2</v>
      </c>
      <c r="C448">
        <v>0.14180551528930599</v>
      </c>
      <c r="D448">
        <v>6960</v>
      </c>
      <c r="E448">
        <v>112.28360271453801</v>
      </c>
    </row>
    <row r="449" spans="1:5" x14ac:dyDescent="0.25">
      <c r="A449" t="s">
        <v>6</v>
      </c>
      <c r="B449">
        <v>2</v>
      </c>
      <c r="C449">
        <v>0.131833291649818</v>
      </c>
      <c r="D449">
        <v>7002</v>
      </c>
      <c r="E449">
        <v>63.788616895675602</v>
      </c>
    </row>
    <row r="450" spans="1:5" x14ac:dyDescent="0.25">
      <c r="A450" t="s">
        <v>5</v>
      </c>
      <c r="B450">
        <v>3</v>
      </c>
      <c r="C450">
        <v>0.121611071626345</v>
      </c>
      <c r="D450">
        <v>6960</v>
      </c>
      <c r="E450">
        <v>112.547940731048</v>
      </c>
    </row>
    <row r="451" spans="1:5" x14ac:dyDescent="0.25">
      <c r="A451" t="s">
        <v>6</v>
      </c>
      <c r="B451">
        <v>3</v>
      </c>
      <c r="C451">
        <v>0.109083290497461</v>
      </c>
      <c r="D451">
        <v>7002</v>
      </c>
      <c r="E451">
        <v>63.787293672561603</v>
      </c>
    </row>
    <row r="452" spans="1:5" x14ac:dyDescent="0.25">
      <c r="A452" t="s">
        <v>5</v>
      </c>
      <c r="B452">
        <v>4</v>
      </c>
      <c r="C452">
        <v>0.100666623910268</v>
      </c>
      <c r="D452">
        <v>6960</v>
      </c>
      <c r="E452">
        <v>112.365411520004</v>
      </c>
    </row>
    <row r="453" spans="1:5" x14ac:dyDescent="0.25">
      <c r="A453" t="s">
        <v>6</v>
      </c>
      <c r="B453">
        <v>4</v>
      </c>
      <c r="C453">
        <v>8.7916622956593804E-2</v>
      </c>
      <c r="D453">
        <v>7002</v>
      </c>
      <c r="E453">
        <v>63.598848819732602</v>
      </c>
    </row>
    <row r="454" spans="1:5" x14ac:dyDescent="0.25">
      <c r="A454" t="s">
        <v>5</v>
      </c>
      <c r="B454">
        <v>5</v>
      </c>
      <c r="C454">
        <v>8.2888844211896198E-2</v>
      </c>
      <c r="D454">
        <v>6960</v>
      </c>
      <c r="E454">
        <v>112.524151563644</v>
      </c>
    </row>
    <row r="455" spans="1:5" x14ac:dyDescent="0.25">
      <c r="A455" t="s">
        <v>6</v>
      </c>
      <c r="B455">
        <v>5</v>
      </c>
      <c r="C455">
        <v>6.73055114348729E-2</v>
      </c>
      <c r="D455">
        <v>7002</v>
      </c>
      <c r="E455">
        <v>64.195952415466294</v>
      </c>
    </row>
    <row r="456" spans="1:5" x14ac:dyDescent="0.25">
      <c r="A456" t="s">
        <v>5</v>
      </c>
      <c r="B456">
        <v>6</v>
      </c>
      <c r="C456">
        <v>6.4694400231043503E-2</v>
      </c>
      <c r="D456">
        <v>6960</v>
      </c>
      <c r="E456">
        <v>112.467226505279</v>
      </c>
    </row>
    <row r="457" spans="1:5" x14ac:dyDescent="0.25">
      <c r="A457" t="s">
        <v>6</v>
      </c>
      <c r="B457">
        <v>6</v>
      </c>
      <c r="C457">
        <v>4.8499958515167203E-2</v>
      </c>
      <c r="D457">
        <v>7002</v>
      </c>
      <c r="E457">
        <v>63.787424325942901</v>
      </c>
    </row>
    <row r="458" spans="1:5" x14ac:dyDescent="0.25">
      <c r="A458" t="s">
        <v>5</v>
      </c>
      <c r="B458">
        <v>8</v>
      </c>
      <c r="C458">
        <v>3.1861077348391199E-2</v>
      </c>
      <c r="D458">
        <v>6960</v>
      </c>
      <c r="E458">
        <v>112.736339569091</v>
      </c>
    </row>
    <row r="459" spans="1:5" x14ac:dyDescent="0.25">
      <c r="A459" t="s">
        <v>6</v>
      </c>
      <c r="B459">
        <v>8</v>
      </c>
      <c r="C459">
        <v>2.3749969601631098E-2</v>
      </c>
      <c r="D459">
        <v>7002</v>
      </c>
      <c r="E459">
        <v>63.930189609527503</v>
      </c>
    </row>
    <row r="460" spans="1:5" x14ac:dyDescent="0.25">
      <c r="A460" t="s">
        <v>5</v>
      </c>
      <c r="B460">
        <v>9</v>
      </c>
      <c r="C460">
        <v>1.9916642109553E-2</v>
      </c>
      <c r="D460">
        <v>6960</v>
      </c>
      <c r="E460">
        <v>112.85841989517201</v>
      </c>
    </row>
    <row r="461" spans="1:5" x14ac:dyDescent="0.25">
      <c r="A461" t="s">
        <v>6</v>
      </c>
      <c r="B461">
        <v>9</v>
      </c>
      <c r="C461">
        <v>1.3416645328203801E-2</v>
      </c>
      <c r="D461">
        <v>7002</v>
      </c>
      <c r="E461">
        <v>64.0621657371521</v>
      </c>
    </row>
    <row r="462" spans="1:5" x14ac:dyDescent="0.25">
      <c r="A462" t="s">
        <v>5</v>
      </c>
      <c r="B462">
        <v>10</v>
      </c>
      <c r="C462">
        <v>1.2222207784652699E-2</v>
      </c>
      <c r="D462">
        <v>6960</v>
      </c>
      <c r="E462">
        <v>112.56468462943999</v>
      </c>
    </row>
    <row r="463" spans="1:5" x14ac:dyDescent="0.25">
      <c r="A463" t="s">
        <v>6</v>
      </c>
      <c r="B463">
        <v>10</v>
      </c>
      <c r="C463">
        <v>1.2583314180374099E-2</v>
      </c>
      <c r="D463">
        <v>7002</v>
      </c>
      <c r="E463">
        <v>63.630771875381399</v>
      </c>
    </row>
    <row r="464" spans="1:5" x14ac:dyDescent="0.25">
      <c r="A464" t="s">
        <v>5</v>
      </c>
      <c r="B464">
        <v>11</v>
      </c>
      <c r="C464">
        <v>7.58332331975301E-3</v>
      </c>
      <c r="D464">
        <v>6960</v>
      </c>
      <c r="E464">
        <v>112.404457092285</v>
      </c>
    </row>
    <row r="465" spans="1:5" x14ac:dyDescent="0.25">
      <c r="A465" t="s">
        <v>6</v>
      </c>
      <c r="B465">
        <v>11</v>
      </c>
      <c r="C465">
        <v>6.9999865690867098E-3</v>
      </c>
      <c r="D465">
        <v>7002</v>
      </c>
      <c r="E465">
        <v>64.010369777679401</v>
      </c>
    </row>
    <row r="466" spans="1:5" x14ac:dyDescent="0.25">
      <c r="A466" t="s">
        <v>5</v>
      </c>
      <c r="B466">
        <v>12</v>
      </c>
      <c r="C466">
        <v>2.0555482308069798E-3</v>
      </c>
      <c r="D466">
        <v>6960</v>
      </c>
      <c r="E466">
        <v>128.00422692298801</v>
      </c>
    </row>
    <row r="467" spans="1:5" x14ac:dyDescent="0.25">
      <c r="A467" t="s">
        <v>6</v>
      </c>
      <c r="B467">
        <v>12</v>
      </c>
      <c r="C467">
        <v>2.1388765176137202E-3</v>
      </c>
      <c r="D467">
        <v>7002</v>
      </c>
      <c r="E467">
        <v>82.667794227600098</v>
      </c>
    </row>
    <row r="468" spans="1:5" x14ac:dyDescent="0.25">
      <c r="A468" t="s">
        <v>5</v>
      </c>
      <c r="B468">
        <v>13</v>
      </c>
      <c r="C468">
        <v>6.5277496973673499E-4</v>
      </c>
      <c r="D468">
        <v>6960</v>
      </c>
      <c r="E468">
        <v>128.389304876327</v>
      </c>
    </row>
    <row r="469" spans="1:5" x14ac:dyDescent="0.25">
      <c r="A469" t="s">
        <v>6</v>
      </c>
      <c r="B469">
        <v>13</v>
      </c>
      <c r="C469">
        <v>1.4444357156753499E-3</v>
      </c>
      <c r="D469">
        <v>7002</v>
      </c>
      <c r="E469">
        <v>82.573866844177203</v>
      </c>
    </row>
    <row r="470" spans="1:5" x14ac:dyDescent="0.25">
      <c r="A470" t="s">
        <v>5</v>
      </c>
      <c r="B470">
        <v>14</v>
      </c>
      <c r="C470">
        <v>3.79628539085388E-4</v>
      </c>
      <c r="D470">
        <v>6960</v>
      </c>
      <c r="E470">
        <v>178.20995855331401</v>
      </c>
    </row>
    <row r="471" spans="1:5" x14ac:dyDescent="0.25">
      <c r="A471" t="s">
        <v>6</v>
      </c>
      <c r="B471">
        <v>14</v>
      </c>
      <c r="C471">
        <v>5.4629405339558896E-4</v>
      </c>
      <c r="D471">
        <v>7002</v>
      </c>
      <c r="E471">
        <v>99.250519990921006</v>
      </c>
    </row>
    <row r="472" spans="1:5" x14ac:dyDescent="0.25">
      <c r="A472" t="s">
        <v>5</v>
      </c>
      <c r="B472">
        <v>15</v>
      </c>
      <c r="C472" s="1">
        <v>6.4814488093058206E-5</v>
      </c>
      <c r="D472">
        <v>6960</v>
      </c>
      <c r="E472">
        <v>169.132887840271</v>
      </c>
    </row>
    <row r="473" spans="1:5" x14ac:dyDescent="0.25">
      <c r="A473" t="s">
        <v>6</v>
      </c>
      <c r="B473">
        <v>15</v>
      </c>
      <c r="C473" s="1">
        <v>8.3332856496175098E-5</v>
      </c>
      <c r="D473">
        <v>7002</v>
      </c>
      <c r="E473">
        <v>98.960443019866901</v>
      </c>
    </row>
    <row r="474" spans="1:5" x14ac:dyDescent="0.25">
      <c r="A474" t="s">
        <v>5</v>
      </c>
      <c r="B474">
        <v>16</v>
      </c>
      <c r="C474">
        <v>0</v>
      </c>
      <c r="D474">
        <v>6960</v>
      </c>
      <c r="E474">
        <v>166.59786534309299</v>
      </c>
    </row>
    <row r="475" spans="1:5" x14ac:dyDescent="0.25">
      <c r="A475" t="s">
        <v>6</v>
      </c>
      <c r="B475">
        <v>16</v>
      </c>
      <c r="C475" s="1">
        <v>3.7036736806233697E-5</v>
      </c>
      <c r="D475">
        <v>7002</v>
      </c>
      <c r="E475">
        <v>98.787354946136404</v>
      </c>
    </row>
    <row r="476" spans="1:5" x14ac:dyDescent="0.25">
      <c r="A476" t="s">
        <v>5</v>
      </c>
      <c r="B476">
        <v>17</v>
      </c>
      <c r="C476" s="1">
        <v>7.4073870976765896E-5</v>
      </c>
      <c r="D476">
        <v>6960</v>
      </c>
      <c r="E476">
        <v>168.76570415496801</v>
      </c>
    </row>
    <row r="477" spans="1:5" x14ac:dyDescent="0.25">
      <c r="A477" t="s">
        <v>6</v>
      </c>
      <c r="B477">
        <v>17</v>
      </c>
      <c r="C477" s="1">
        <v>1.8518368403116801E-5</v>
      </c>
      <c r="D477">
        <v>7002</v>
      </c>
      <c r="E477">
        <v>99.251611232757497</v>
      </c>
    </row>
    <row r="478" spans="1:5" x14ac:dyDescent="0.25">
      <c r="A478" t="s">
        <v>5</v>
      </c>
      <c r="B478">
        <v>0</v>
      </c>
      <c r="C478">
        <v>0.187388847072919</v>
      </c>
      <c r="D478">
        <v>6960</v>
      </c>
      <c r="E478">
        <v>113.157923460006</v>
      </c>
    </row>
    <row r="479" spans="1:5" x14ac:dyDescent="0.25">
      <c r="A479" t="s">
        <v>6</v>
      </c>
      <c r="B479">
        <v>0</v>
      </c>
      <c r="C479">
        <v>0.17994440277417501</v>
      </c>
      <c r="D479">
        <v>7002</v>
      </c>
      <c r="E479">
        <v>65.120744466781602</v>
      </c>
    </row>
    <row r="480" spans="1:5" x14ac:dyDescent="0.25">
      <c r="A480" t="s">
        <v>5</v>
      </c>
      <c r="B480">
        <v>1</v>
      </c>
      <c r="C480">
        <v>0.16716662406921301</v>
      </c>
      <c r="D480">
        <v>6960</v>
      </c>
      <c r="E480">
        <v>112.335686683654</v>
      </c>
    </row>
    <row r="481" spans="1:5" x14ac:dyDescent="0.25">
      <c r="A481" t="s">
        <v>6</v>
      </c>
      <c r="B481">
        <v>1</v>
      </c>
      <c r="C481">
        <v>0.15758329192797299</v>
      </c>
      <c r="D481">
        <v>7002</v>
      </c>
      <c r="E481">
        <v>63.930257081985403</v>
      </c>
    </row>
    <row r="482" spans="1:5" x14ac:dyDescent="0.25">
      <c r="A482" t="s">
        <v>5</v>
      </c>
      <c r="B482">
        <v>2</v>
      </c>
      <c r="C482">
        <v>0.14030551354090301</v>
      </c>
      <c r="D482">
        <v>6960</v>
      </c>
      <c r="E482">
        <v>112.50355839729301</v>
      </c>
    </row>
    <row r="483" spans="1:5" x14ac:dyDescent="0.25">
      <c r="A483" t="s">
        <v>6</v>
      </c>
      <c r="B483">
        <v>2</v>
      </c>
      <c r="C483">
        <v>0.133472179174423</v>
      </c>
      <c r="D483">
        <v>7002</v>
      </c>
      <c r="E483">
        <v>63.991680860519402</v>
      </c>
    </row>
    <row r="484" spans="1:5" x14ac:dyDescent="0.25">
      <c r="A484" t="s">
        <v>5</v>
      </c>
      <c r="B484">
        <v>3</v>
      </c>
      <c r="C484">
        <v>0.120666625698407</v>
      </c>
      <c r="D484">
        <v>6960</v>
      </c>
      <c r="E484">
        <v>112.795830726623</v>
      </c>
    </row>
    <row r="485" spans="1:5" x14ac:dyDescent="0.25">
      <c r="A485" t="s">
        <v>6</v>
      </c>
      <c r="B485">
        <v>3</v>
      </c>
      <c r="C485">
        <v>0.110555513302485</v>
      </c>
      <c r="D485">
        <v>7002</v>
      </c>
      <c r="E485">
        <v>63.8186450004577</v>
      </c>
    </row>
    <row r="486" spans="1:5" x14ac:dyDescent="0.25">
      <c r="A486" t="s">
        <v>5</v>
      </c>
      <c r="B486">
        <v>4</v>
      </c>
      <c r="C486">
        <v>9.8777734239896095E-2</v>
      </c>
      <c r="D486">
        <v>6960</v>
      </c>
      <c r="E486">
        <v>112.32378339767401</v>
      </c>
    </row>
    <row r="487" spans="1:5" x14ac:dyDescent="0.25">
      <c r="A487" t="s">
        <v>6</v>
      </c>
      <c r="B487">
        <v>4</v>
      </c>
      <c r="C487">
        <v>9.0305511156717894E-2</v>
      </c>
      <c r="D487">
        <v>7002</v>
      </c>
      <c r="E487">
        <v>64.054140567779498</v>
      </c>
    </row>
    <row r="488" spans="1:5" x14ac:dyDescent="0.25">
      <c r="A488" t="s">
        <v>5</v>
      </c>
      <c r="B488">
        <v>5</v>
      </c>
      <c r="C488">
        <v>7.6861067016919402E-2</v>
      </c>
      <c r="D488">
        <v>6960</v>
      </c>
      <c r="E488">
        <v>112.36527895927399</v>
      </c>
    </row>
    <row r="489" spans="1:5" x14ac:dyDescent="0.25">
      <c r="A489" t="s">
        <v>6</v>
      </c>
      <c r="B489">
        <v>5</v>
      </c>
      <c r="C489">
        <v>6.4999957482020004E-2</v>
      </c>
      <c r="D489">
        <v>7002</v>
      </c>
      <c r="E489">
        <v>63.961251974105799</v>
      </c>
    </row>
    <row r="490" spans="1:5" x14ac:dyDescent="0.25">
      <c r="A490" t="s">
        <v>5</v>
      </c>
      <c r="B490">
        <v>6</v>
      </c>
      <c r="C490">
        <v>6.5499956409136403E-2</v>
      </c>
      <c r="D490">
        <v>6960</v>
      </c>
      <c r="E490">
        <v>112.832926034927</v>
      </c>
    </row>
    <row r="491" spans="1:5" x14ac:dyDescent="0.25">
      <c r="A491" t="s">
        <v>6</v>
      </c>
      <c r="B491">
        <v>6</v>
      </c>
      <c r="C491">
        <v>5.1361068685849498E-2</v>
      </c>
      <c r="D491">
        <v>7002</v>
      </c>
      <c r="E491">
        <v>64.070655345916705</v>
      </c>
    </row>
    <row r="492" spans="1:5" x14ac:dyDescent="0.25">
      <c r="A492" t="s">
        <v>5</v>
      </c>
      <c r="B492">
        <v>8</v>
      </c>
      <c r="C492">
        <v>3.6666629910468998E-2</v>
      </c>
      <c r="D492">
        <v>6960</v>
      </c>
      <c r="E492">
        <v>112.52726745605401</v>
      </c>
    </row>
    <row r="493" spans="1:5" x14ac:dyDescent="0.25">
      <c r="A493" t="s">
        <v>6</v>
      </c>
      <c r="B493">
        <v>8</v>
      </c>
      <c r="C493">
        <v>2.3361079295476199E-2</v>
      </c>
      <c r="D493">
        <v>7002</v>
      </c>
      <c r="E493">
        <v>64.086423397064195</v>
      </c>
    </row>
    <row r="494" spans="1:5" x14ac:dyDescent="0.25">
      <c r="A494" t="s">
        <v>5</v>
      </c>
      <c r="B494">
        <v>9</v>
      </c>
      <c r="C494">
        <v>1.9333309133847499E-2</v>
      </c>
      <c r="D494">
        <v>6960</v>
      </c>
      <c r="E494">
        <v>112.770264148712</v>
      </c>
    </row>
    <row r="495" spans="1:5" x14ac:dyDescent="0.25">
      <c r="A495" t="s">
        <v>6</v>
      </c>
      <c r="B495">
        <v>9</v>
      </c>
      <c r="C495">
        <v>1.3999975323677E-2</v>
      </c>
      <c r="D495">
        <v>7002</v>
      </c>
      <c r="E495">
        <v>64.069782972335801</v>
      </c>
    </row>
    <row r="496" spans="1:5" x14ac:dyDescent="0.25">
      <c r="A496" t="s">
        <v>5</v>
      </c>
      <c r="B496">
        <v>10</v>
      </c>
      <c r="C496">
        <v>1.22222052017847E-2</v>
      </c>
      <c r="D496">
        <v>6960</v>
      </c>
      <c r="E496">
        <v>112.601529836654</v>
      </c>
    </row>
    <row r="497" spans="1:5" x14ac:dyDescent="0.25">
      <c r="A497" t="s">
        <v>6</v>
      </c>
      <c r="B497">
        <v>10</v>
      </c>
      <c r="C497">
        <v>8.4444278478622396E-3</v>
      </c>
      <c r="D497">
        <v>7002</v>
      </c>
      <c r="E497">
        <v>63.8677043914794</v>
      </c>
    </row>
    <row r="498" spans="1:5" x14ac:dyDescent="0.25">
      <c r="A498" t="s">
        <v>5</v>
      </c>
      <c r="B498">
        <v>11</v>
      </c>
      <c r="C498">
        <v>5.8888804912567098E-3</v>
      </c>
      <c r="D498">
        <v>6960</v>
      </c>
      <c r="E498">
        <v>112.844303369522</v>
      </c>
    </row>
    <row r="499" spans="1:5" x14ac:dyDescent="0.25">
      <c r="A499" t="s">
        <v>6</v>
      </c>
      <c r="B499">
        <v>11</v>
      </c>
      <c r="C499">
        <v>5.3611016273498501E-3</v>
      </c>
      <c r="D499">
        <v>7002</v>
      </c>
      <c r="E499">
        <v>63.961555957794097</v>
      </c>
    </row>
    <row r="500" spans="1:5" x14ac:dyDescent="0.25">
      <c r="A500" t="s">
        <v>5</v>
      </c>
      <c r="B500">
        <v>12</v>
      </c>
      <c r="C500">
        <v>2.5277682145436599E-3</v>
      </c>
      <c r="D500">
        <v>6960</v>
      </c>
      <c r="E500">
        <v>128.29169321060101</v>
      </c>
    </row>
    <row r="501" spans="1:5" x14ac:dyDescent="0.25">
      <c r="A501" t="s">
        <v>6</v>
      </c>
      <c r="B501">
        <v>12</v>
      </c>
      <c r="C501">
        <v>2.7499864498774199E-3</v>
      </c>
      <c r="D501">
        <v>7002</v>
      </c>
      <c r="E501">
        <v>82.509321212768498</v>
      </c>
    </row>
    <row r="502" spans="1:5" x14ac:dyDescent="0.25">
      <c r="A502" t="s">
        <v>5</v>
      </c>
      <c r="B502">
        <v>13</v>
      </c>
      <c r="C502">
        <v>7.2221954663594502E-4</v>
      </c>
      <c r="D502">
        <v>6960</v>
      </c>
      <c r="E502">
        <v>128.39142370223999</v>
      </c>
    </row>
    <row r="503" spans="1:5" x14ac:dyDescent="0.25">
      <c r="A503" t="s">
        <v>6</v>
      </c>
      <c r="B503">
        <v>13</v>
      </c>
      <c r="C503">
        <v>1.18054966131846E-3</v>
      </c>
      <c r="D503">
        <v>7002</v>
      </c>
      <c r="E503">
        <v>82.5250949859619</v>
      </c>
    </row>
    <row r="504" spans="1:5" x14ac:dyDescent="0.25">
      <c r="A504" t="s">
        <v>5</v>
      </c>
      <c r="B504">
        <v>14</v>
      </c>
      <c r="C504">
        <v>3.4259180227915403E-4</v>
      </c>
      <c r="D504">
        <v>6960</v>
      </c>
      <c r="E504">
        <v>170.89987945556601</v>
      </c>
    </row>
    <row r="505" spans="1:5" x14ac:dyDescent="0.25">
      <c r="A505" t="s">
        <v>6</v>
      </c>
      <c r="B505">
        <v>14</v>
      </c>
      <c r="C505">
        <v>6.11108342806498E-4</v>
      </c>
      <c r="D505">
        <v>7002</v>
      </c>
      <c r="E505">
        <v>98.601515054702702</v>
      </c>
    </row>
    <row r="506" spans="1:5" x14ac:dyDescent="0.25">
      <c r="A506" t="s">
        <v>5</v>
      </c>
      <c r="B506">
        <v>15</v>
      </c>
      <c r="C506">
        <v>1.48147940635681E-4</v>
      </c>
      <c r="D506">
        <v>6960</v>
      </c>
      <c r="E506">
        <v>165.32569718360901</v>
      </c>
    </row>
    <row r="507" spans="1:5" x14ac:dyDescent="0.25">
      <c r="A507" t="s">
        <v>6</v>
      </c>
      <c r="B507">
        <v>15</v>
      </c>
      <c r="C507">
        <v>3.4259140491485501E-4</v>
      </c>
      <c r="D507">
        <v>7002</v>
      </c>
      <c r="E507">
        <v>98.206203460693303</v>
      </c>
    </row>
    <row r="508" spans="1:5" x14ac:dyDescent="0.25">
      <c r="A508" t="s">
        <v>5</v>
      </c>
      <c r="B508">
        <v>16</v>
      </c>
      <c r="C508" s="1">
        <v>3.7036935488382901E-5</v>
      </c>
      <c r="D508">
        <v>6960</v>
      </c>
      <c r="E508">
        <v>163.04933118820099</v>
      </c>
    </row>
    <row r="509" spans="1:5" x14ac:dyDescent="0.25">
      <c r="A509" t="s">
        <v>6</v>
      </c>
      <c r="B509">
        <v>16</v>
      </c>
      <c r="C509" s="1">
        <v>3.7036935488382901E-5</v>
      </c>
      <c r="D509">
        <v>7002</v>
      </c>
      <c r="E509">
        <v>98.944804906844993</v>
      </c>
    </row>
    <row r="510" spans="1:5" x14ac:dyDescent="0.25">
      <c r="A510" t="s">
        <v>5</v>
      </c>
      <c r="B510">
        <v>17</v>
      </c>
      <c r="C510">
        <v>0</v>
      </c>
      <c r="D510">
        <v>6960</v>
      </c>
      <c r="E510">
        <v>162.71793913841199</v>
      </c>
    </row>
    <row r="511" spans="1:5" x14ac:dyDescent="0.25">
      <c r="A511" t="s">
        <v>6</v>
      </c>
      <c r="B511">
        <v>17</v>
      </c>
      <c r="C511" s="1">
        <v>5.55553038914998E-5</v>
      </c>
      <c r="D511">
        <v>7002</v>
      </c>
      <c r="E511">
        <v>98.928206920623694</v>
      </c>
    </row>
    <row r="512" spans="1:5" x14ac:dyDescent="0.25">
      <c r="A512" t="s">
        <v>5</v>
      </c>
      <c r="B512">
        <v>0</v>
      </c>
      <c r="C512">
        <v>0.18786106924215901</v>
      </c>
      <c r="D512">
        <v>6960</v>
      </c>
      <c r="E512">
        <v>112.678739786148</v>
      </c>
    </row>
    <row r="513" spans="1:5" x14ac:dyDescent="0.25">
      <c r="A513" t="s">
        <v>6</v>
      </c>
      <c r="B513">
        <v>0</v>
      </c>
      <c r="C513">
        <v>0.179055513739585</v>
      </c>
      <c r="D513">
        <v>7002</v>
      </c>
      <c r="E513">
        <v>64.132141828536902</v>
      </c>
    </row>
    <row r="514" spans="1:5" x14ac:dyDescent="0.25">
      <c r="A514" t="s">
        <v>5</v>
      </c>
      <c r="B514">
        <v>1</v>
      </c>
      <c r="C514">
        <v>0.163888847231864</v>
      </c>
      <c r="D514">
        <v>6960</v>
      </c>
      <c r="E514">
        <v>112.85662126541099</v>
      </c>
    </row>
    <row r="515" spans="1:5" x14ac:dyDescent="0.25">
      <c r="A515" t="s">
        <v>6</v>
      </c>
      <c r="B515">
        <v>1</v>
      </c>
      <c r="C515">
        <v>0.157499958872795</v>
      </c>
      <c r="D515">
        <v>7002</v>
      </c>
      <c r="E515">
        <v>64.634341239929199</v>
      </c>
    </row>
    <row r="516" spans="1:5" x14ac:dyDescent="0.25">
      <c r="A516" t="s">
        <v>5</v>
      </c>
      <c r="B516">
        <v>2</v>
      </c>
      <c r="C516">
        <v>0.141499958237012</v>
      </c>
      <c r="D516">
        <v>6960</v>
      </c>
      <c r="E516">
        <v>112.452925920486</v>
      </c>
    </row>
    <row r="517" spans="1:5" x14ac:dyDescent="0.25">
      <c r="A517" t="s">
        <v>6</v>
      </c>
      <c r="B517">
        <v>2</v>
      </c>
      <c r="C517">
        <v>0.13369440337022101</v>
      </c>
      <c r="D517">
        <v>7002</v>
      </c>
      <c r="E517">
        <v>64.039442062377901</v>
      </c>
    </row>
    <row r="518" spans="1:5" x14ac:dyDescent="0.25">
      <c r="A518" t="s">
        <v>5</v>
      </c>
      <c r="B518">
        <v>3</v>
      </c>
      <c r="C518">
        <v>0.119916625817616</v>
      </c>
      <c r="D518">
        <v>6960</v>
      </c>
      <c r="E518">
        <v>112.305577754974</v>
      </c>
    </row>
    <row r="519" spans="1:5" x14ac:dyDescent="0.25">
      <c r="A519" t="s">
        <v>6</v>
      </c>
      <c r="B519">
        <v>3</v>
      </c>
      <c r="C519">
        <v>0.110305513342221</v>
      </c>
      <c r="D519">
        <v>7002</v>
      </c>
      <c r="E519">
        <v>64.023983955383301</v>
      </c>
    </row>
    <row r="520" spans="1:5" x14ac:dyDescent="0.25">
      <c r="A520" t="s">
        <v>5</v>
      </c>
      <c r="B520">
        <v>4</v>
      </c>
      <c r="C520">
        <v>9.9194402098655696E-2</v>
      </c>
      <c r="D520">
        <v>6960</v>
      </c>
      <c r="E520">
        <v>112.92784667015</v>
      </c>
    </row>
    <row r="521" spans="1:5" x14ac:dyDescent="0.25">
      <c r="A521" t="s">
        <v>6</v>
      </c>
      <c r="B521">
        <v>4</v>
      </c>
      <c r="C521">
        <v>8.5777735312779699E-2</v>
      </c>
      <c r="D521">
        <v>7002</v>
      </c>
      <c r="E521">
        <v>63.802964448928797</v>
      </c>
    </row>
    <row r="522" spans="1:5" x14ac:dyDescent="0.25">
      <c r="A522" t="s">
        <v>5</v>
      </c>
      <c r="B522">
        <v>5</v>
      </c>
      <c r="C522">
        <v>8.0611067612965895E-2</v>
      </c>
      <c r="D522">
        <v>6960</v>
      </c>
      <c r="E522">
        <v>112.84734749794001</v>
      </c>
    </row>
    <row r="523" spans="1:5" x14ac:dyDescent="0.25">
      <c r="A523" t="s">
        <v>6</v>
      </c>
      <c r="B523">
        <v>5</v>
      </c>
      <c r="C523">
        <v>6.5694401661554894E-2</v>
      </c>
      <c r="D523">
        <v>7002</v>
      </c>
      <c r="E523">
        <v>63.977043151855398</v>
      </c>
    </row>
    <row r="524" spans="1:5" x14ac:dyDescent="0.25">
      <c r="A524" t="s">
        <v>5</v>
      </c>
      <c r="B524">
        <v>6</v>
      </c>
      <c r="C524">
        <v>6.3416624863942395E-2</v>
      </c>
      <c r="D524">
        <v>6960</v>
      </c>
      <c r="E524">
        <v>112.301084280014</v>
      </c>
    </row>
    <row r="525" spans="1:5" x14ac:dyDescent="0.25">
      <c r="A525" t="s">
        <v>6</v>
      </c>
      <c r="B525">
        <v>6</v>
      </c>
      <c r="C525">
        <v>5.0083294113476999E-2</v>
      </c>
      <c r="D525">
        <v>7002</v>
      </c>
      <c r="E525">
        <v>63.944497108459402</v>
      </c>
    </row>
    <row r="526" spans="1:5" x14ac:dyDescent="0.25">
      <c r="A526" t="s">
        <v>5</v>
      </c>
      <c r="B526">
        <v>8</v>
      </c>
      <c r="C526">
        <v>3.39444090922673E-2</v>
      </c>
      <c r="D526">
        <v>6960</v>
      </c>
      <c r="E526">
        <v>112.844304323196</v>
      </c>
    </row>
    <row r="527" spans="1:5" x14ac:dyDescent="0.25">
      <c r="A527" t="s">
        <v>6</v>
      </c>
      <c r="B527">
        <v>8</v>
      </c>
      <c r="C527">
        <v>2.2611081202824901E-2</v>
      </c>
      <c r="D527">
        <v>7002</v>
      </c>
      <c r="E527">
        <v>64.243860483169499</v>
      </c>
    </row>
    <row r="528" spans="1:5" x14ac:dyDescent="0.25">
      <c r="A528" t="s">
        <v>5</v>
      </c>
      <c r="B528">
        <v>9</v>
      </c>
      <c r="C528">
        <v>2.4305528601010599E-2</v>
      </c>
      <c r="D528">
        <v>6960</v>
      </c>
      <c r="E528">
        <v>112.575813770294</v>
      </c>
    </row>
    <row r="529" spans="1:5" x14ac:dyDescent="0.25">
      <c r="A529" t="s">
        <v>6</v>
      </c>
      <c r="B529">
        <v>9</v>
      </c>
      <c r="C529">
        <v>1.9944415887196799E-2</v>
      </c>
      <c r="D529">
        <v>7002</v>
      </c>
      <c r="E529">
        <v>63.977157354354802</v>
      </c>
    </row>
    <row r="530" spans="1:5" x14ac:dyDescent="0.25">
      <c r="A530" t="s">
        <v>5</v>
      </c>
      <c r="B530">
        <v>10</v>
      </c>
      <c r="C530">
        <v>1.3527759909629801E-2</v>
      </c>
      <c r="D530">
        <v>6960</v>
      </c>
      <c r="E530">
        <v>112.653520345687</v>
      </c>
    </row>
    <row r="531" spans="1:5" x14ac:dyDescent="0.25">
      <c r="A531" t="s">
        <v>6</v>
      </c>
      <c r="B531">
        <v>10</v>
      </c>
      <c r="C531">
        <v>1.22777559359868E-2</v>
      </c>
      <c r="D531">
        <v>7002</v>
      </c>
      <c r="E531">
        <v>64.276018619537297</v>
      </c>
    </row>
    <row r="532" spans="1:5" x14ac:dyDescent="0.25">
      <c r="A532" t="s">
        <v>5</v>
      </c>
      <c r="B532">
        <v>11</v>
      </c>
      <c r="C532">
        <v>6.5277677774429298E-3</v>
      </c>
      <c r="D532">
        <v>6960</v>
      </c>
      <c r="E532">
        <v>112.702164649963</v>
      </c>
    </row>
    <row r="533" spans="1:5" x14ac:dyDescent="0.25">
      <c r="A533" t="s">
        <v>6</v>
      </c>
      <c r="B533">
        <v>11</v>
      </c>
      <c r="C533">
        <v>6.08332196871439E-3</v>
      </c>
      <c r="D533">
        <v>7002</v>
      </c>
      <c r="E533">
        <v>64.023919582366901</v>
      </c>
    </row>
    <row r="534" spans="1:5" x14ac:dyDescent="0.25">
      <c r="A534" t="s">
        <v>5</v>
      </c>
      <c r="B534">
        <v>12</v>
      </c>
      <c r="C534">
        <v>2.1527697642644201E-3</v>
      </c>
      <c r="D534">
        <v>6960</v>
      </c>
      <c r="E534">
        <v>128.794003009796</v>
      </c>
    </row>
    <row r="535" spans="1:5" x14ac:dyDescent="0.25">
      <c r="A535" t="s">
        <v>6</v>
      </c>
      <c r="B535">
        <v>12</v>
      </c>
      <c r="C535">
        <v>2.0694331328074099E-3</v>
      </c>
      <c r="D535">
        <v>7002</v>
      </c>
      <c r="E535">
        <v>82.574011087417603</v>
      </c>
    </row>
    <row r="536" spans="1:5" x14ac:dyDescent="0.25">
      <c r="A536" t="s">
        <v>5</v>
      </c>
      <c r="B536">
        <v>13</v>
      </c>
      <c r="C536">
        <v>1.1944401264190601E-3</v>
      </c>
      <c r="D536">
        <v>6960</v>
      </c>
      <c r="E536">
        <v>128.32222080230699</v>
      </c>
    </row>
    <row r="537" spans="1:5" x14ac:dyDescent="0.25">
      <c r="A537" t="s">
        <v>6</v>
      </c>
      <c r="B537">
        <v>13</v>
      </c>
      <c r="C537">
        <v>1.08332773049672E-3</v>
      </c>
      <c r="D537">
        <v>7002</v>
      </c>
      <c r="E537">
        <v>82.464651107788001</v>
      </c>
    </row>
    <row r="538" spans="1:5" x14ac:dyDescent="0.25">
      <c r="A538" t="s">
        <v>5</v>
      </c>
      <c r="B538">
        <v>14</v>
      </c>
      <c r="C538">
        <v>2.5925834973653103E-4</v>
      </c>
      <c r="D538">
        <v>6960</v>
      </c>
      <c r="E538">
        <v>166.07306051254201</v>
      </c>
    </row>
    <row r="539" spans="1:5" x14ac:dyDescent="0.25">
      <c r="A539" t="s">
        <v>6</v>
      </c>
      <c r="B539">
        <v>14</v>
      </c>
      <c r="C539">
        <v>5.6481202443440701E-4</v>
      </c>
      <c r="D539">
        <v>7002</v>
      </c>
      <c r="E539">
        <v>102.37697362899701</v>
      </c>
    </row>
    <row r="540" spans="1:5" x14ac:dyDescent="0.25">
      <c r="A540" t="s">
        <v>5</v>
      </c>
      <c r="B540">
        <v>15</v>
      </c>
      <c r="C540" s="1">
        <v>4.6296119689941401E-5</v>
      </c>
      <c r="D540">
        <v>6960</v>
      </c>
      <c r="E540">
        <v>164.11812782287501</v>
      </c>
    </row>
    <row r="541" spans="1:5" x14ac:dyDescent="0.25">
      <c r="A541" t="s">
        <v>6</v>
      </c>
      <c r="B541">
        <v>15</v>
      </c>
      <c r="C541" s="1">
        <v>9.2592040697733497E-5</v>
      </c>
      <c r="D541">
        <v>7002</v>
      </c>
      <c r="E541">
        <v>98.567737817764197</v>
      </c>
    </row>
    <row r="542" spans="1:5" x14ac:dyDescent="0.25">
      <c r="A542" t="s">
        <v>5</v>
      </c>
      <c r="B542">
        <v>16</v>
      </c>
      <c r="C542" s="1">
        <v>4.6296119689941401E-5</v>
      </c>
      <c r="D542">
        <v>6960</v>
      </c>
      <c r="E542">
        <v>163.64563012123099</v>
      </c>
    </row>
    <row r="543" spans="1:5" x14ac:dyDescent="0.25">
      <c r="A543" t="s">
        <v>6</v>
      </c>
      <c r="B543">
        <v>16</v>
      </c>
      <c r="C543">
        <v>0</v>
      </c>
      <c r="D543">
        <v>7002</v>
      </c>
      <c r="E543">
        <v>98.788594722747803</v>
      </c>
    </row>
    <row r="544" spans="1:5" x14ac:dyDescent="0.25">
      <c r="A544" t="s">
        <v>5</v>
      </c>
      <c r="B544">
        <v>17</v>
      </c>
      <c r="C544" s="1">
        <v>5.5555502573648997E-5</v>
      </c>
      <c r="D544">
        <v>6960</v>
      </c>
      <c r="E544">
        <v>164.09920310974101</v>
      </c>
    </row>
    <row r="545" spans="1:5" x14ac:dyDescent="0.25">
      <c r="A545" t="s">
        <v>6</v>
      </c>
      <c r="B545">
        <v>17</v>
      </c>
      <c r="C545">
        <v>0</v>
      </c>
      <c r="D545">
        <v>7002</v>
      </c>
      <c r="E545">
        <v>98.709256649017306</v>
      </c>
    </row>
    <row r="546" spans="1:5" x14ac:dyDescent="0.25">
      <c r="A546" t="s">
        <v>5</v>
      </c>
      <c r="B546">
        <v>0</v>
      </c>
      <c r="C546">
        <v>0.187444403370221</v>
      </c>
      <c r="D546">
        <v>6960</v>
      </c>
      <c r="E546">
        <v>112.04540324211101</v>
      </c>
    </row>
    <row r="547" spans="1:5" x14ac:dyDescent="0.25">
      <c r="A547" t="s">
        <v>6</v>
      </c>
      <c r="B547">
        <v>0</v>
      </c>
      <c r="C547">
        <v>0.17986106753349301</v>
      </c>
      <c r="D547">
        <v>7002</v>
      </c>
      <c r="E547">
        <v>63.865465879440301</v>
      </c>
    </row>
    <row r="548" spans="1:5" x14ac:dyDescent="0.25">
      <c r="A548" t="s">
        <v>5</v>
      </c>
      <c r="B548">
        <v>1</v>
      </c>
      <c r="C548">
        <v>0.16688884655634501</v>
      </c>
      <c r="D548">
        <v>6960</v>
      </c>
      <c r="E548">
        <v>112.296750307083</v>
      </c>
    </row>
    <row r="549" spans="1:5" x14ac:dyDescent="0.25">
      <c r="A549" t="s">
        <v>6</v>
      </c>
      <c r="B549">
        <v>1</v>
      </c>
      <c r="C549">
        <v>0.15686107039451599</v>
      </c>
      <c r="D549">
        <v>7002</v>
      </c>
      <c r="E549">
        <v>64.366647481918307</v>
      </c>
    </row>
    <row r="550" spans="1:5" x14ac:dyDescent="0.25">
      <c r="A550" t="s">
        <v>5</v>
      </c>
      <c r="B550">
        <v>2</v>
      </c>
      <c r="C550">
        <v>0.13966662625471701</v>
      </c>
      <c r="D550">
        <v>6960</v>
      </c>
      <c r="E550">
        <v>112.787232160568</v>
      </c>
    </row>
    <row r="551" spans="1:5" x14ac:dyDescent="0.25">
      <c r="A551" t="s">
        <v>6</v>
      </c>
      <c r="B551">
        <v>2</v>
      </c>
      <c r="C551">
        <v>0.13366662581761601</v>
      </c>
      <c r="D551">
        <v>7002</v>
      </c>
      <c r="E551">
        <v>65.214634180068899</v>
      </c>
    </row>
    <row r="552" spans="1:5" x14ac:dyDescent="0.25">
      <c r="A552" t="s">
        <v>5</v>
      </c>
      <c r="B552">
        <v>3</v>
      </c>
      <c r="C552">
        <v>0.12099996070067</v>
      </c>
      <c r="D552">
        <v>6960</v>
      </c>
      <c r="E552">
        <v>112.53855061531</v>
      </c>
    </row>
    <row r="553" spans="1:5" x14ac:dyDescent="0.25">
      <c r="A553" t="s">
        <v>6</v>
      </c>
      <c r="B553">
        <v>3</v>
      </c>
      <c r="C553">
        <v>0.10924995779991099</v>
      </c>
      <c r="D553">
        <v>7002</v>
      </c>
      <c r="E553">
        <v>63.8811450004577</v>
      </c>
    </row>
    <row r="554" spans="1:5" x14ac:dyDescent="0.25">
      <c r="A554" t="s">
        <v>5</v>
      </c>
      <c r="B554">
        <v>4</v>
      </c>
      <c r="C554">
        <v>9.8055514097213706E-2</v>
      </c>
      <c r="D554">
        <v>6960</v>
      </c>
      <c r="E554">
        <v>112.242223024368</v>
      </c>
    </row>
    <row r="555" spans="1:5" x14ac:dyDescent="0.25">
      <c r="A555" t="s">
        <v>6</v>
      </c>
      <c r="B555">
        <v>4</v>
      </c>
      <c r="C555">
        <v>8.5472179055213898E-2</v>
      </c>
      <c r="D555">
        <v>7002</v>
      </c>
      <c r="E555">
        <v>63.836531162261899</v>
      </c>
    </row>
    <row r="556" spans="1:5" x14ac:dyDescent="0.25">
      <c r="A556" t="s">
        <v>5</v>
      </c>
      <c r="B556">
        <v>5</v>
      </c>
      <c r="C556">
        <v>7.9222179055213907E-2</v>
      </c>
      <c r="D556">
        <v>6960</v>
      </c>
      <c r="E556">
        <v>112.244914531707</v>
      </c>
    </row>
    <row r="557" spans="1:5" x14ac:dyDescent="0.25">
      <c r="A557" t="s">
        <v>6</v>
      </c>
      <c r="B557">
        <v>5</v>
      </c>
      <c r="C557">
        <v>6.5805511275927195E-2</v>
      </c>
      <c r="D557">
        <v>7002</v>
      </c>
      <c r="E557">
        <v>63.945931673049898</v>
      </c>
    </row>
    <row r="558" spans="1:5" x14ac:dyDescent="0.25">
      <c r="A558" t="s">
        <v>5</v>
      </c>
      <c r="B558">
        <v>6</v>
      </c>
      <c r="C558">
        <v>6.5888845324516193E-2</v>
      </c>
      <c r="D558">
        <v>6960</v>
      </c>
      <c r="E558">
        <v>112.57390451431201</v>
      </c>
    </row>
    <row r="559" spans="1:5" x14ac:dyDescent="0.25">
      <c r="A559" t="s">
        <v>6</v>
      </c>
      <c r="B559">
        <v>6</v>
      </c>
      <c r="C559">
        <v>4.9166625936825997E-2</v>
      </c>
      <c r="D559">
        <v>7002</v>
      </c>
      <c r="E559">
        <v>63.883400678634601</v>
      </c>
    </row>
    <row r="560" spans="1:5" x14ac:dyDescent="0.25">
      <c r="A560" t="s">
        <v>5</v>
      </c>
      <c r="B560">
        <v>8</v>
      </c>
      <c r="C560">
        <v>3.3944409886995902E-2</v>
      </c>
      <c r="D560">
        <v>6960</v>
      </c>
      <c r="E560">
        <v>112.71293759346</v>
      </c>
    </row>
    <row r="561" spans="1:5" x14ac:dyDescent="0.25">
      <c r="A561" t="s">
        <v>6</v>
      </c>
      <c r="B561">
        <v>8</v>
      </c>
      <c r="C561">
        <v>2.6527744332949299E-2</v>
      </c>
      <c r="D561">
        <v>7002</v>
      </c>
      <c r="E561">
        <v>63.7249624729156</v>
      </c>
    </row>
    <row r="562" spans="1:5" x14ac:dyDescent="0.25">
      <c r="A562" t="s">
        <v>5</v>
      </c>
      <c r="B562">
        <v>9</v>
      </c>
      <c r="C562">
        <v>2.2611083984374999E-2</v>
      </c>
      <c r="D562">
        <v>6960</v>
      </c>
      <c r="E562">
        <v>112.46477341651899</v>
      </c>
    </row>
    <row r="563" spans="1:5" x14ac:dyDescent="0.25">
      <c r="A563" t="s">
        <v>6</v>
      </c>
      <c r="B563">
        <v>9</v>
      </c>
      <c r="C563">
        <v>1.5972196261087999E-2</v>
      </c>
      <c r="D563">
        <v>7002</v>
      </c>
      <c r="E563">
        <v>64.385461330413804</v>
      </c>
    </row>
    <row r="564" spans="1:5" x14ac:dyDescent="0.25">
      <c r="A564" t="s">
        <v>5</v>
      </c>
      <c r="B564">
        <v>10</v>
      </c>
      <c r="C564">
        <v>1.4277758797009699E-2</v>
      </c>
      <c r="D564">
        <v>6960</v>
      </c>
      <c r="E564">
        <v>112.115370512008</v>
      </c>
    </row>
    <row r="565" spans="1:5" x14ac:dyDescent="0.25">
      <c r="A565" t="s">
        <v>6</v>
      </c>
      <c r="B565">
        <v>10</v>
      </c>
      <c r="C565">
        <v>1.0499982635180099E-2</v>
      </c>
      <c r="D565">
        <v>7002</v>
      </c>
      <c r="E565">
        <v>63.883396387100198</v>
      </c>
    </row>
    <row r="566" spans="1:5" x14ac:dyDescent="0.25">
      <c r="A566" t="s">
        <v>5</v>
      </c>
      <c r="B566">
        <v>11</v>
      </c>
      <c r="C566">
        <v>6.6666575272877997E-3</v>
      </c>
      <c r="D566">
        <v>6960</v>
      </c>
      <c r="E566">
        <v>112.047863483428</v>
      </c>
    </row>
    <row r="567" spans="1:5" x14ac:dyDescent="0.25">
      <c r="A567" t="s">
        <v>6</v>
      </c>
      <c r="B567">
        <v>11</v>
      </c>
      <c r="C567">
        <v>7.2222089767456001E-3</v>
      </c>
      <c r="D567">
        <v>7002</v>
      </c>
      <c r="E567">
        <v>63.992742061614898</v>
      </c>
    </row>
    <row r="568" spans="1:5" x14ac:dyDescent="0.25">
      <c r="A568" t="s">
        <v>5</v>
      </c>
      <c r="B568">
        <v>12</v>
      </c>
      <c r="C568">
        <v>1.98610325654347E-3</v>
      </c>
      <c r="D568">
        <v>6960</v>
      </c>
      <c r="E568">
        <v>128.91660904884299</v>
      </c>
    </row>
    <row r="569" spans="1:5" x14ac:dyDescent="0.25">
      <c r="A569" t="s">
        <v>6</v>
      </c>
      <c r="B569">
        <v>12</v>
      </c>
      <c r="C569">
        <v>2.4166568120320602E-3</v>
      </c>
      <c r="D569">
        <v>7002</v>
      </c>
      <c r="E569">
        <v>82.6053853034973</v>
      </c>
    </row>
    <row r="570" spans="1:5" x14ac:dyDescent="0.25">
      <c r="A570" t="s">
        <v>5</v>
      </c>
      <c r="B570">
        <v>13</v>
      </c>
      <c r="C570">
        <v>4.5833110809326099E-4</v>
      </c>
      <c r="D570">
        <v>6960</v>
      </c>
      <c r="E570">
        <v>128.88110280036901</v>
      </c>
    </row>
    <row r="571" spans="1:5" x14ac:dyDescent="0.25">
      <c r="A571" t="s">
        <v>6</v>
      </c>
      <c r="B571">
        <v>13</v>
      </c>
      <c r="C571">
        <v>1.70832435290018E-3</v>
      </c>
      <c r="D571">
        <v>7002</v>
      </c>
      <c r="E571">
        <v>82.448112249374304</v>
      </c>
    </row>
    <row r="572" spans="1:5" x14ac:dyDescent="0.25">
      <c r="A572" t="s">
        <v>5</v>
      </c>
      <c r="B572">
        <v>14</v>
      </c>
      <c r="C572">
        <v>2.8703649838765402E-4</v>
      </c>
      <c r="D572">
        <v>6960</v>
      </c>
      <c r="E572">
        <v>171.382374048233</v>
      </c>
    </row>
    <row r="573" spans="1:5" x14ac:dyDescent="0.25">
      <c r="A573" t="s">
        <v>6</v>
      </c>
      <c r="B573">
        <v>14</v>
      </c>
      <c r="C573">
        <v>4.0740569432576399E-4</v>
      </c>
      <c r="D573">
        <v>7002</v>
      </c>
      <c r="E573">
        <v>99.152462005615206</v>
      </c>
    </row>
    <row r="574" spans="1:5" x14ac:dyDescent="0.25">
      <c r="A574" t="s">
        <v>5</v>
      </c>
      <c r="B574">
        <v>15</v>
      </c>
      <c r="C574">
        <v>1.5740672747294101E-4</v>
      </c>
      <c r="D574">
        <v>6960</v>
      </c>
      <c r="E574">
        <v>166.53671526908801</v>
      </c>
    </row>
    <row r="575" spans="1:5" x14ac:dyDescent="0.25">
      <c r="A575" t="s">
        <v>6</v>
      </c>
      <c r="B575">
        <v>15</v>
      </c>
      <c r="C575">
        <v>1.29628976186116E-4</v>
      </c>
      <c r="D575">
        <v>7002</v>
      </c>
      <c r="E575">
        <v>98.284382820129395</v>
      </c>
    </row>
    <row r="576" spans="1:5" x14ac:dyDescent="0.25">
      <c r="A576" t="s">
        <v>5</v>
      </c>
      <c r="B576">
        <v>16</v>
      </c>
      <c r="C576">
        <v>1.11110607782999E-4</v>
      </c>
      <c r="D576">
        <v>6960</v>
      </c>
      <c r="E576">
        <v>164.38186669349599</v>
      </c>
    </row>
    <row r="577" spans="1:5" x14ac:dyDescent="0.25">
      <c r="A577" t="s">
        <v>6</v>
      </c>
      <c r="B577">
        <v>16</v>
      </c>
      <c r="C577" s="1">
        <v>4.6296119689941401E-5</v>
      </c>
      <c r="D577">
        <v>7002</v>
      </c>
      <c r="E577">
        <v>98.301104545593205</v>
      </c>
    </row>
    <row r="578" spans="1:5" x14ac:dyDescent="0.25">
      <c r="A578" t="s">
        <v>5</v>
      </c>
      <c r="B578">
        <v>17</v>
      </c>
      <c r="C578">
        <v>0</v>
      </c>
      <c r="D578">
        <v>6960</v>
      </c>
      <c r="E578">
        <v>164.691789627075</v>
      </c>
    </row>
    <row r="579" spans="1:5" x14ac:dyDescent="0.25">
      <c r="A579" t="s">
        <v>6</v>
      </c>
      <c r="B579">
        <v>17</v>
      </c>
      <c r="C579" s="1">
        <v>1.8518368403116801E-5</v>
      </c>
      <c r="D579">
        <v>7002</v>
      </c>
      <c r="E579">
        <v>98.583363533020005</v>
      </c>
    </row>
    <row r="580" spans="1:5" x14ac:dyDescent="0.25">
      <c r="A580" t="s">
        <v>5</v>
      </c>
      <c r="B580">
        <v>0</v>
      </c>
      <c r="C580">
        <v>0.18769440193970999</v>
      </c>
      <c r="D580">
        <v>6960</v>
      </c>
      <c r="E580">
        <v>112.428904294967</v>
      </c>
    </row>
    <row r="581" spans="1:5" x14ac:dyDescent="0.25">
      <c r="A581" t="s">
        <v>6</v>
      </c>
      <c r="B581">
        <v>0</v>
      </c>
      <c r="C581">
        <v>0.18030551354090299</v>
      </c>
      <c r="D581">
        <v>7002</v>
      </c>
      <c r="E581">
        <v>63.646828413009601</v>
      </c>
    </row>
    <row r="582" spans="1:5" x14ac:dyDescent="0.25">
      <c r="A582" t="s">
        <v>5</v>
      </c>
      <c r="B582">
        <v>1</v>
      </c>
      <c r="C582">
        <v>0.161277737220128</v>
      </c>
      <c r="D582">
        <v>6960</v>
      </c>
      <c r="E582">
        <v>112.760151863098</v>
      </c>
    </row>
    <row r="583" spans="1:5" x14ac:dyDescent="0.25">
      <c r="A583" t="s">
        <v>6</v>
      </c>
      <c r="B583">
        <v>1</v>
      </c>
      <c r="C583">
        <v>0.15644440154234501</v>
      </c>
      <c r="D583">
        <v>7002</v>
      </c>
      <c r="E583">
        <v>64.203779935836707</v>
      </c>
    </row>
    <row r="584" spans="1:5" x14ac:dyDescent="0.25">
      <c r="A584" t="s">
        <v>5</v>
      </c>
      <c r="B584">
        <v>2</v>
      </c>
      <c r="C584">
        <v>0.141666626731554</v>
      </c>
      <c r="D584">
        <v>6960</v>
      </c>
      <c r="E584">
        <v>112.852237224578</v>
      </c>
    </row>
    <row r="585" spans="1:5" x14ac:dyDescent="0.25">
      <c r="A585" t="s">
        <v>6</v>
      </c>
      <c r="B585">
        <v>2</v>
      </c>
      <c r="C585">
        <v>0.13374995887279501</v>
      </c>
      <c r="D585">
        <v>7002</v>
      </c>
      <c r="E585">
        <v>64.336302995681706</v>
      </c>
    </row>
    <row r="586" spans="1:5" x14ac:dyDescent="0.25">
      <c r="A586" t="s">
        <v>5</v>
      </c>
      <c r="B586">
        <v>3</v>
      </c>
      <c r="C586">
        <v>0.11536107063293401</v>
      </c>
      <c r="D586">
        <v>6960</v>
      </c>
      <c r="E586">
        <v>111.999991893768</v>
      </c>
    </row>
    <row r="587" spans="1:5" x14ac:dyDescent="0.25">
      <c r="A587" t="s">
        <v>6</v>
      </c>
      <c r="B587">
        <v>3</v>
      </c>
      <c r="C587">
        <v>0.108999957839647</v>
      </c>
      <c r="D587">
        <v>7002</v>
      </c>
      <c r="E587">
        <v>64.833967685699406</v>
      </c>
    </row>
    <row r="588" spans="1:5" x14ac:dyDescent="0.25">
      <c r="A588" t="s">
        <v>5</v>
      </c>
      <c r="B588">
        <v>4</v>
      </c>
      <c r="C588">
        <v>9.7999957402547203E-2</v>
      </c>
      <c r="D588">
        <v>6960</v>
      </c>
      <c r="E588">
        <v>112.141870737075</v>
      </c>
    </row>
    <row r="589" spans="1:5" x14ac:dyDescent="0.25">
      <c r="A589" t="s">
        <v>6</v>
      </c>
      <c r="B589">
        <v>4</v>
      </c>
      <c r="C589">
        <v>8.7222179770469602E-2</v>
      </c>
      <c r="D589">
        <v>7002</v>
      </c>
      <c r="E589">
        <v>63.866504192352203</v>
      </c>
    </row>
    <row r="590" spans="1:5" x14ac:dyDescent="0.25">
      <c r="A590" t="s">
        <v>5</v>
      </c>
      <c r="B590">
        <v>5</v>
      </c>
      <c r="C590">
        <v>7.95555118719736E-2</v>
      </c>
      <c r="D590">
        <v>6960</v>
      </c>
      <c r="E590">
        <v>112.350306272506</v>
      </c>
    </row>
    <row r="591" spans="1:5" x14ac:dyDescent="0.25">
      <c r="A591" t="s">
        <v>6</v>
      </c>
      <c r="B591">
        <v>5</v>
      </c>
      <c r="C591">
        <v>6.7972178657849602E-2</v>
      </c>
      <c r="D591">
        <v>7002</v>
      </c>
      <c r="E591">
        <v>64.039425611495901</v>
      </c>
    </row>
    <row r="592" spans="1:5" x14ac:dyDescent="0.25">
      <c r="A592" t="s">
        <v>5</v>
      </c>
      <c r="B592">
        <v>6</v>
      </c>
      <c r="C592">
        <v>6.2027735908826098E-2</v>
      </c>
      <c r="D592">
        <v>6960</v>
      </c>
      <c r="E592">
        <v>112.88035583496</v>
      </c>
    </row>
    <row r="593" spans="1:5" x14ac:dyDescent="0.25">
      <c r="A593" t="s">
        <v>6</v>
      </c>
      <c r="B593">
        <v>6</v>
      </c>
      <c r="C593">
        <v>5.3194400668144202E-2</v>
      </c>
      <c r="D593">
        <v>7002</v>
      </c>
      <c r="E593">
        <v>64.023977041244507</v>
      </c>
    </row>
    <row r="594" spans="1:5" x14ac:dyDescent="0.25">
      <c r="A594" t="s">
        <v>5</v>
      </c>
      <c r="B594">
        <v>8</v>
      </c>
      <c r="C594">
        <v>3.4694408973057998E-2</v>
      </c>
      <c r="D594">
        <v>6960</v>
      </c>
      <c r="E594">
        <v>112.737141132354</v>
      </c>
    </row>
    <row r="595" spans="1:5" x14ac:dyDescent="0.25">
      <c r="A595" t="s">
        <v>6</v>
      </c>
      <c r="B595">
        <v>8</v>
      </c>
      <c r="C595">
        <v>2.5972190697987799E-2</v>
      </c>
      <c r="D595">
        <v>7002</v>
      </c>
      <c r="E595">
        <v>63.8498888015747</v>
      </c>
    </row>
    <row r="596" spans="1:5" x14ac:dyDescent="0.25">
      <c r="A596" t="s">
        <v>5</v>
      </c>
      <c r="B596">
        <v>9</v>
      </c>
      <c r="C596">
        <v>2.53333036104838E-2</v>
      </c>
      <c r="D596">
        <v>6960</v>
      </c>
      <c r="E596">
        <v>112.625947237014</v>
      </c>
    </row>
    <row r="597" spans="1:5" x14ac:dyDescent="0.25">
      <c r="A597" t="s">
        <v>6</v>
      </c>
      <c r="B597">
        <v>9</v>
      </c>
      <c r="C597">
        <v>1.78610843420028E-2</v>
      </c>
      <c r="D597">
        <v>7002</v>
      </c>
      <c r="E597">
        <v>63.771775722503598</v>
      </c>
    </row>
    <row r="598" spans="1:5" x14ac:dyDescent="0.25">
      <c r="A598" t="s">
        <v>5</v>
      </c>
      <c r="B598">
        <v>10</v>
      </c>
      <c r="C598">
        <v>1.33888725439707E-2</v>
      </c>
      <c r="D598">
        <v>6960</v>
      </c>
      <c r="E598">
        <v>112.619527339935</v>
      </c>
    </row>
    <row r="599" spans="1:5" x14ac:dyDescent="0.25">
      <c r="A599" t="s">
        <v>6</v>
      </c>
      <c r="B599">
        <v>10</v>
      </c>
      <c r="C599">
        <v>1.1722202698389601E-2</v>
      </c>
      <c r="D599">
        <v>7002</v>
      </c>
      <c r="E599">
        <v>64.039528608322101</v>
      </c>
    </row>
    <row r="600" spans="1:5" x14ac:dyDescent="0.25">
      <c r="A600" t="s">
        <v>5</v>
      </c>
      <c r="B600">
        <v>11</v>
      </c>
      <c r="C600">
        <v>5.6666578849156697E-3</v>
      </c>
      <c r="D600">
        <v>6960</v>
      </c>
      <c r="E600">
        <v>112.244249343872</v>
      </c>
    </row>
    <row r="601" spans="1:5" x14ac:dyDescent="0.25">
      <c r="A601" t="s">
        <v>6</v>
      </c>
      <c r="B601">
        <v>11</v>
      </c>
      <c r="C601">
        <v>7.5833209355672202E-3</v>
      </c>
      <c r="D601">
        <v>7002</v>
      </c>
      <c r="E601">
        <v>63.631335735321002</v>
      </c>
    </row>
    <row r="602" spans="1:5" x14ac:dyDescent="0.25">
      <c r="A602" t="s">
        <v>5</v>
      </c>
      <c r="B602">
        <v>12</v>
      </c>
      <c r="C602">
        <v>2.6666561762491801E-3</v>
      </c>
      <c r="D602">
        <v>6960</v>
      </c>
      <c r="E602">
        <v>127.294640302658</v>
      </c>
    </row>
    <row r="603" spans="1:5" x14ac:dyDescent="0.25">
      <c r="A603" t="s">
        <v>6</v>
      </c>
      <c r="B603">
        <v>12</v>
      </c>
      <c r="C603">
        <v>2.9444322983423802E-3</v>
      </c>
      <c r="D603">
        <v>7002</v>
      </c>
      <c r="E603">
        <v>83.168800115585299</v>
      </c>
    </row>
    <row r="604" spans="1:5" x14ac:dyDescent="0.25">
      <c r="A604" t="s">
        <v>5</v>
      </c>
      <c r="B604">
        <v>13</v>
      </c>
      <c r="C604">
        <v>8.1944167613983104E-4</v>
      </c>
      <c r="D604">
        <v>6960</v>
      </c>
      <c r="E604">
        <v>128.27424764633099</v>
      </c>
    </row>
    <row r="605" spans="1:5" x14ac:dyDescent="0.25">
      <c r="A605" t="s">
        <v>6</v>
      </c>
      <c r="B605">
        <v>13</v>
      </c>
      <c r="C605">
        <v>8.8888386885325099E-4</v>
      </c>
      <c r="D605">
        <v>7002</v>
      </c>
      <c r="E605">
        <v>82.731219768524099</v>
      </c>
    </row>
    <row r="606" spans="1:5" x14ac:dyDescent="0.25">
      <c r="A606" t="s">
        <v>5</v>
      </c>
      <c r="B606">
        <v>14</v>
      </c>
      <c r="C606">
        <v>3.98147304852803E-4</v>
      </c>
      <c r="D606">
        <v>6960</v>
      </c>
      <c r="E606">
        <v>168.854762077331</v>
      </c>
    </row>
    <row r="607" spans="1:5" x14ac:dyDescent="0.25">
      <c r="A607" t="s">
        <v>6</v>
      </c>
      <c r="B607">
        <v>14</v>
      </c>
      <c r="C607">
        <v>2.7777632077534902E-4</v>
      </c>
      <c r="D607">
        <v>7002</v>
      </c>
      <c r="E607">
        <v>98.702813625335693</v>
      </c>
    </row>
    <row r="608" spans="1:5" x14ac:dyDescent="0.25">
      <c r="A608" t="s">
        <v>5</v>
      </c>
      <c r="B608">
        <v>15</v>
      </c>
      <c r="C608">
        <v>1.6666611035664799E-4</v>
      </c>
      <c r="D608">
        <v>6960</v>
      </c>
      <c r="E608">
        <v>165.97460627555799</v>
      </c>
    </row>
    <row r="609" spans="1:5" x14ac:dyDescent="0.25">
      <c r="A609" t="s">
        <v>6</v>
      </c>
      <c r="B609">
        <v>15</v>
      </c>
      <c r="C609">
        <v>1.11110607782999E-4</v>
      </c>
      <c r="D609">
        <v>7002</v>
      </c>
      <c r="E609">
        <v>101.40512752532899</v>
      </c>
    </row>
    <row r="610" spans="1:5" x14ac:dyDescent="0.25">
      <c r="A610" t="s">
        <v>5</v>
      </c>
      <c r="B610">
        <v>16</v>
      </c>
      <c r="C610" s="1">
        <v>1.8518368403116801E-5</v>
      </c>
      <c r="D610">
        <v>6960</v>
      </c>
      <c r="E610">
        <v>168.071634292602</v>
      </c>
    </row>
    <row r="611" spans="1:5" x14ac:dyDescent="0.25">
      <c r="A611" t="s">
        <v>6</v>
      </c>
      <c r="B611">
        <v>16</v>
      </c>
      <c r="C611" s="1">
        <v>3.7036736806233697E-5</v>
      </c>
      <c r="D611">
        <v>7002</v>
      </c>
      <c r="E611">
        <v>101.296150445938</v>
      </c>
    </row>
    <row r="612" spans="1:5" x14ac:dyDescent="0.25">
      <c r="A612" t="s">
        <v>5</v>
      </c>
      <c r="B612">
        <v>17</v>
      </c>
      <c r="C612">
        <v>0</v>
      </c>
      <c r="D612">
        <v>6960</v>
      </c>
      <c r="E612">
        <v>164.39417672157199</v>
      </c>
    </row>
    <row r="613" spans="1:5" x14ac:dyDescent="0.25">
      <c r="A613" t="s">
        <v>6</v>
      </c>
      <c r="B613">
        <v>17</v>
      </c>
      <c r="C613">
        <v>0</v>
      </c>
      <c r="D613">
        <v>7002</v>
      </c>
      <c r="E613">
        <v>98.4886248111724</v>
      </c>
    </row>
    <row r="614" spans="1:5" x14ac:dyDescent="0.25">
      <c r="A614" t="s">
        <v>5</v>
      </c>
      <c r="B614">
        <v>0</v>
      </c>
      <c r="C614">
        <v>0.18691662371158599</v>
      </c>
      <c r="D614">
        <v>6960</v>
      </c>
      <c r="E614">
        <v>112.522962093353</v>
      </c>
    </row>
    <row r="615" spans="1:5" x14ac:dyDescent="0.25">
      <c r="A615" t="s">
        <v>6</v>
      </c>
      <c r="B615">
        <v>0</v>
      </c>
      <c r="C615">
        <v>0.18008329133192699</v>
      </c>
      <c r="D615">
        <v>7002</v>
      </c>
      <c r="E615">
        <v>63.818691730499197</v>
      </c>
    </row>
    <row r="616" spans="1:5" x14ac:dyDescent="0.25">
      <c r="A616" t="s">
        <v>5</v>
      </c>
      <c r="B616">
        <v>1</v>
      </c>
      <c r="C616">
        <v>0.161777737538019</v>
      </c>
      <c r="D616">
        <v>6960</v>
      </c>
      <c r="E616">
        <v>112.125788211822</v>
      </c>
    </row>
    <row r="617" spans="1:5" x14ac:dyDescent="0.25">
      <c r="A617" t="s">
        <v>6</v>
      </c>
      <c r="B617">
        <v>1</v>
      </c>
      <c r="C617">
        <v>0.15766662577787999</v>
      </c>
      <c r="D617">
        <v>7002</v>
      </c>
      <c r="E617">
        <v>63.740374088287297</v>
      </c>
    </row>
    <row r="618" spans="1:5" x14ac:dyDescent="0.25">
      <c r="A618" t="s">
        <v>5</v>
      </c>
      <c r="B618">
        <v>2</v>
      </c>
      <c r="C618">
        <v>0.14152773777643801</v>
      </c>
      <c r="D618">
        <v>6960</v>
      </c>
      <c r="E618">
        <v>112.281018733978</v>
      </c>
    </row>
    <row r="619" spans="1:5" x14ac:dyDescent="0.25">
      <c r="A619" t="s">
        <v>6</v>
      </c>
      <c r="B619">
        <v>2</v>
      </c>
      <c r="C619">
        <v>0.134583293000857</v>
      </c>
      <c r="D619">
        <v>7002</v>
      </c>
      <c r="E619">
        <v>63.756202697753899</v>
      </c>
    </row>
    <row r="620" spans="1:5" x14ac:dyDescent="0.25">
      <c r="A620" t="s">
        <v>5</v>
      </c>
      <c r="B620">
        <v>3</v>
      </c>
      <c r="C620">
        <v>0.120416625340779</v>
      </c>
      <c r="D620">
        <v>6960</v>
      </c>
      <c r="E620">
        <v>111.91211485862701</v>
      </c>
    </row>
    <row r="621" spans="1:5" x14ac:dyDescent="0.25">
      <c r="A621" t="s">
        <v>6</v>
      </c>
      <c r="B621">
        <v>3</v>
      </c>
      <c r="C621">
        <v>0.110361068248748</v>
      </c>
      <c r="D621">
        <v>7002</v>
      </c>
      <c r="E621">
        <v>64.1020760536193</v>
      </c>
    </row>
    <row r="622" spans="1:5" x14ac:dyDescent="0.25">
      <c r="A622" t="s">
        <v>5</v>
      </c>
      <c r="B622">
        <v>4</v>
      </c>
      <c r="C622">
        <v>9.8222180604934595E-2</v>
      </c>
      <c r="D622">
        <v>6960</v>
      </c>
      <c r="E622">
        <v>111.976958036422</v>
      </c>
    </row>
    <row r="623" spans="1:5" x14ac:dyDescent="0.25">
      <c r="A623" t="s">
        <v>6</v>
      </c>
      <c r="B623">
        <v>4</v>
      </c>
      <c r="C623">
        <v>8.7055509885152094E-2</v>
      </c>
      <c r="D623">
        <v>7002</v>
      </c>
      <c r="E623">
        <v>64.665423631668006</v>
      </c>
    </row>
    <row r="624" spans="1:5" x14ac:dyDescent="0.25">
      <c r="A624" t="s">
        <v>5</v>
      </c>
      <c r="B624">
        <v>5</v>
      </c>
      <c r="C624">
        <v>7.9194401105244894E-2</v>
      </c>
      <c r="D624">
        <v>6960</v>
      </c>
      <c r="E624">
        <v>112.58450651168801</v>
      </c>
    </row>
    <row r="625" spans="1:5" x14ac:dyDescent="0.25">
      <c r="A625" t="s">
        <v>6</v>
      </c>
      <c r="B625">
        <v>5</v>
      </c>
      <c r="C625">
        <v>6.69166243076324E-2</v>
      </c>
      <c r="D625">
        <v>7002</v>
      </c>
      <c r="E625">
        <v>63.6947886943817</v>
      </c>
    </row>
    <row r="626" spans="1:5" x14ac:dyDescent="0.25">
      <c r="A626" t="s">
        <v>5</v>
      </c>
      <c r="B626">
        <v>6</v>
      </c>
      <c r="C626">
        <v>6.2416624029477397E-2</v>
      </c>
      <c r="D626">
        <v>6960</v>
      </c>
      <c r="E626">
        <v>112.09993815422</v>
      </c>
    </row>
    <row r="627" spans="1:5" x14ac:dyDescent="0.25">
      <c r="A627" t="s">
        <v>6</v>
      </c>
      <c r="B627">
        <v>6</v>
      </c>
      <c r="C627">
        <v>4.9222179849942503E-2</v>
      </c>
      <c r="D627">
        <v>7002</v>
      </c>
      <c r="E627">
        <v>64.070725679397498</v>
      </c>
    </row>
    <row r="628" spans="1:5" x14ac:dyDescent="0.25">
      <c r="A628" t="s">
        <v>5</v>
      </c>
      <c r="B628">
        <v>8</v>
      </c>
      <c r="C628">
        <v>3.5388853152592901E-2</v>
      </c>
      <c r="D628">
        <v>6960</v>
      </c>
      <c r="E628">
        <v>112.320610761642</v>
      </c>
    </row>
    <row r="629" spans="1:5" x14ac:dyDescent="0.25">
      <c r="A629" t="s">
        <v>6</v>
      </c>
      <c r="B629">
        <v>8</v>
      </c>
      <c r="C629">
        <v>2.4027745922406502E-2</v>
      </c>
      <c r="D629">
        <v>7002</v>
      </c>
      <c r="E629">
        <v>63.802957773208597</v>
      </c>
    </row>
    <row r="630" spans="1:5" x14ac:dyDescent="0.25">
      <c r="A630" t="s">
        <v>5</v>
      </c>
      <c r="B630">
        <v>9</v>
      </c>
      <c r="C630">
        <v>2.3666640520095799E-2</v>
      </c>
      <c r="D630">
        <v>6960</v>
      </c>
      <c r="E630">
        <v>112.666271209716</v>
      </c>
    </row>
    <row r="631" spans="1:5" x14ac:dyDescent="0.25">
      <c r="A631" t="s">
        <v>6</v>
      </c>
      <c r="B631">
        <v>9</v>
      </c>
      <c r="C631">
        <v>1.8138862649599699E-2</v>
      </c>
      <c r="D631">
        <v>7002</v>
      </c>
      <c r="E631">
        <v>63.646717071533203</v>
      </c>
    </row>
    <row r="632" spans="1:5" x14ac:dyDescent="0.25">
      <c r="A632" t="s">
        <v>5</v>
      </c>
      <c r="B632">
        <v>10</v>
      </c>
      <c r="C632">
        <v>1.3111093640327399E-2</v>
      </c>
      <c r="D632">
        <v>6960</v>
      </c>
      <c r="E632">
        <v>112.238898515701</v>
      </c>
    </row>
    <row r="633" spans="1:5" x14ac:dyDescent="0.25">
      <c r="A633" t="s">
        <v>6</v>
      </c>
      <c r="B633">
        <v>10</v>
      </c>
      <c r="C633">
        <v>9.5555392901102692E-3</v>
      </c>
      <c r="D633">
        <v>7002</v>
      </c>
      <c r="E633">
        <v>63.678150653839097</v>
      </c>
    </row>
    <row r="634" spans="1:5" x14ac:dyDescent="0.25">
      <c r="A634" t="s">
        <v>5</v>
      </c>
      <c r="B634">
        <v>11</v>
      </c>
      <c r="C634">
        <v>7.1388787031173703E-3</v>
      </c>
      <c r="D634">
        <v>6960</v>
      </c>
      <c r="E634">
        <v>112.27266550064</v>
      </c>
    </row>
    <row r="635" spans="1:5" x14ac:dyDescent="0.25">
      <c r="A635" t="s">
        <v>6</v>
      </c>
      <c r="B635">
        <v>11</v>
      </c>
      <c r="C635">
        <v>6.63887719313303E-3</v>
      </c>
      <c r="D635">
        <v>7002</v>
      </c>
      <c r="E635">
        <v>63.896786689758301</v>
      </c>
    </row>
    <row r="636" spans="1:5" x14ac:dyDescent="0.25">
      <c r="A636" t="s">
        <v>5</v>
      </c>
      <c r="B636">
        <v>12</v>
      </c>
      <c r="C636">
        <v>2.3055466016133602E-3</v>
      </c>
      <c r="D636">
        <v>6960</v>
      </c>
      <c r="E636">
        <v>127.79739546775799</v>
      </c>
    </row>
    <row r="637" spans="1:5" x14ac:dyDescent="0.25">
      <c r="A637" t="s">
        <v>6</v>
      </c>
      <c r="B637">
        <v>12</v>
      </c>
      <c r="C637">
        <v>1.9722127914428701E-3</v>
      </c>
      <c r="D637">
        <v>7002</v>
      </c>
      <c r="E637">
        <v>82.292820453643799</v>
      </c>
    </row>
    <row r="638" spans="1:5" x14ac:dyDescent="0.25">
      <c r="A638" t="s">
        <v>5</v>
      </c>
      <c r="B638">
        <v>13</v>
      </c>
      <c r="C638">
        <v>5.6944171587626101E-4</v>
      </c>
      <c r="D638">
        <v>6960</v>
      </c>
      <c r="E638">
        <v>128.13321518897999</v>
      </c>
    </row>
    <row r="639" spans="1:5" x14ac:dyDescent="0.25">
      <c r="A639" t="s">
        <v>6</v>
      </c>
      <c r="B639">
        <v>13</v>
      </c>
      <c r="C639">
        <v>1.2083270152409801E-3</v>
      </c>
      <c r="D639">
        <v>7002</v>
      </c>
      <c r="E639">
        <v>81.978128194808903</v>
      </c>
    </row>
    <row r="640" spans="1:5" x14ac:dyDescent="0.25">
      <c r="A640" t="s">
        <v>5</v>
      </c>
      <c r="B640">
        <v>14</v>
      </c>
      <c r="C640">
        <v>4.8148016134897802E-4</v>
      </c>
      <c r="D640">
        <v>6960</v>
      </c>
      <c r="E640">
        <v>168.48717999458299</v>
      </c>
    </row>
    <row r="641" spans="1:5" x14ac:dyDescent="0.25">
      <c r="A641" t="s">
        <v>6</v>
      </c>
      <c r="B641">
        <v>14</v>
      </c>
      <c r="C641">
        <v>6.2036792437235495E-4</v>
      </c>
      <c r="D641">
        <v>7002</v>
      </c>
      <c r="E641">
        <v>98.929227590560899</v>
      </c>
    </row>
    <row r="642" spans="1:5" x14ac:dyDescent="0.25">
      <c r="A642" t="s">
        <v>5</v>
      </c>
      <c r="B642">
        <v>15</v>
      </c>
      <c r="C642" s="1">
        <v>2.7777751286824498E-5</v>
      </c>
      <c r="D642">
        <v>6960</v>
      </c>
      <c r="E642">
        <v>164.77082133293101</v>
      </c>
    </row>
    <row r="643" spans="1:5" x14ac:dyDescent="0.25">
      <c r="A643" t="s">
        <v>6</v>
      </c>
      <c r="B643">
        <v>15</v>
      </c>
      <c r="C643" s="1">
        <v>8.3332856496175098E-5</v>
      </c>
      <c r="D643">
        <v>7002</v>
      </c>
      <c r="E643">
        <v>98.817731857299805</v>
      </c>
    </row>
    <row r="644" spans="1:5" x14ac:dyDescent="0.25">
      <c r="A644" t="s">
        <v>5</v>
      </c>
      <c r="B644">
        <v>16</v>
      </c>
      <c r="C644" s="1">
        <v>3.7036935488382901E-5</v>
      </c>
      <c r="D644">
        <v>6960</v>
      </c>
      <c r="E644">
        <v>164.306185007095</v>
      </c>
    </row>
    <row r="645" spans="1:5" x14ac:dyDescent="0.25">
      <c r="A645" t="s">
        <v>6</v>
      </c>
      <c r="B645">
        <v>16</v>
      </c>
      <c r="C645" s="1">
        <v>9.2592239379882802E-5</v>
      </c>
      <c r="D645">
        <v>7002</v>
      </c>
      <c r="E645">
        <v>99.100027322769094</v>
      </c>
    </row>
    <row r="646" spans="1:5" x14ac:dyDescent="0.25">
      <c r="A646" t="s">
        <v>5</v>
      </c>
      <c r="B646">
        <v>17</v>
      </c>
      <c r="C646">
        <v>0</v>
      </c>
      <c r="D646">
        <v>6960</v>
      </c>
      <c r="E646">
        <v>164.44814038276601</v>
      </c>
    </row>
    <row r="647" spans="1:5" x14ac:dyDescent="0.25">
      <c r="A647" t="s">
        <v>6</v>
      </c>
      <c r="B647">
        <v>17</v>
      </c>
      <c r="C647" s="1">
        <v>1.8518368403116801E-5</v>
      </c>
      <c r="D647">
        <v>7002</v>
      </c>
      <c r="E647">
        <v>98.534325122833195</v>
      </c>
    </row>
    <row r="648" spans="1:5" x14ac:dyDescent="0.25">
      <c r="A648" t="s">
        <v>5</v>
      </c>
      <c r="B648">
        <v>0</v>
      </c>
      <c r="C648">
        <v>0.188611067930857</v>
      </c>
      <c r="D648">
        <v>6960</v>
      </c>
      <c r="E648">
        <v>112.310750007629</v>
      </c>
    </row>
    <row r="649" spans="1:5" x14ac:dyDescent="0.25">
      <c r="A649" t="s">
        <v>6</v>
      </c>
      <c r="B649">
        <v>0</v>
      </c>
      <c r="C649">
        <v>0.18049995879332201</v>
      </c>
      <c r="D649">
        <v>7002</v>
      </c>
      <c r="E649">
        <v>63.867764711379998</v>
      </c>
    </row>
    <row r="650" spans="1:5" x14ac:dyDescent="0.25">
      <c r="A650" t="s">
        <v>5</v>
      </c>
      <c r="B650">
        <v>1</v>
      </c>
      <c r="C650">
        <v>0.167888845205307</v>
      </c>
      <c r="D650">
        <v>6960</v>
      </c>
      <c r="E650">
        <v>111.985748767852</v>
      </c>
    </row>
    <row r="651" spans="1:5" x14ac:dyDescent="0.25">
      <c r="A651" t="s">
        <v>6</v>
      </c>
      <c r="B651">
        <v>1</v>
      </c>
      <c r="C651">
        <v>0.157416625420252</v>
      </c>
      <c r="D651">
        <v>7002</v>
      </c>
      <c r="E651">
        <v>64.320525884628296</v>
      </c>
    </row>
    <row r="652" spans="1:5" x14ac:dyDescent="0.25">
      <c r="A652" t="s">
        <v>5</v>
      </c>
      <c r="B652">
        <v>2</v>
      </c>
      <c r="C652">
        <v>0.141111070315043</v>
      </c>
      <c r="D652">
        <v>6960</v>
      </c>
      <c r="E652">
        <v>112.849275112152</v>
      </c>
    </row>
    <row r="653" spans="1:5" x14ac:dyDescent="0.25">
      <c r="A653" t="s">
        <v>6</v>
      </c>
      <c r="B653">
        <v>2</v>
      </c>
      <c r="C653">
        <v>0.13369440297285701</v>
      </c>
      <c r="D653">
        <v>7002</v>
      </c>
      <c r="E653">
        <v>63.914479732513399</v>
      </c>
    </row>
    <row r="654" spans="1:5" x14ac:dyDescent="0.25">
      <c r="A654" t="s">
        <v>5</v>
      </c>
      <c r="B654">
        <v>3</v>
      </c>
      <c r="C654">
        <v>0.11813884973526</v>
      </c>
      <c r="D654">
        <v>6960</v>
      </c>
      <c r="E654">
        <v>112.709756374359</v>
      </c>
    </row>
    <row r="655" spans="1:5" x14ac:dyDescent="0.25">
      <c r="A655" t="s">
        <v>6</v>
      </c>
      <c r="B655">
        <v>3</v>
      </c>
      <c r="C655">
        <v>0.108555513223012</v>
      </c>
      <c r="D655">
        <v>7002</v>
      </c>
      <c r="E655">
        <v>64.091907024383502</v>
      </c>
    </row>
    <row r="656" spans="1:5" x14ac:dyDescent="0.25">
      <c r="A656" t="s">
        <v>5</v>
      </c>
      <c r="B656">
        <v>4</v>
      </c>
      <c r="C656">
        <v>9.9249955614407803E-2</v>
      </c>
      <c r="D656">
        <v>6960</v>
      </c>
      <c r="E656">
        <v>112.616408348083</v>
      </c>
    </row>
    <row r="657" spans="1:5" x14ac:dyDescent="0.25">
      <c r="A657" t="s">
        <v>6</v>
      </c>
      <c r="B657">
        <v>4</v>
      </c>
      <c r="C657">
        <v>8.7638845443725494E-2</v>
      </c>
      <c r="D657">
        <v>7002</v>
      </c>
      <c r="E657">
        <v>64.289538145065293</v>
      </c>
    </row>
    <row r="658" spans="1:5" x14ac:dyDescent="0.25">
      <c r="A658" t="s">
        <v>5</v>
      </c>
      <c r="B658">
        <v>5</v>
      </c>
      <c r="C658">
        <v>7.8777733246485293E-2</v>
      </c>
      <c r="D658">
        <v>6960</v>
      </c>
      <c r="E658">
        <v>113.08839869499199</v>
      </c>
    </row>
    <row r="659" spans="1:5" x14ac:dyDescent="0.25">
      <c r="A659" t="s">
        <v>6</v>
      </c>
      <c r="B659">
        <v>5</v>
      </c>
      <c r="C659">
        <v>6.6777733961741095E-2</v>
      </c>
      <c r="D659">
        <v>7002</v>
      </c>
      <c r="E659">
        <v>64.572710990905705</v>
      </c>
    </row>
    <row r="660" spans="1:5" x14ac:dyDescent="0.25">
      <c r="A660" t="s">
        <v>5</v>
      </c>
      <c r="B660">
        <v>6</v>
      </c>
      <c r="C660">
        <v>6.4444400866826304E-2</v>
      </c>
      <c r="D660">
        <v>6960</v>
      </c>
      <c r="E660">
        <v>112.601269960403</v>
      </c>
    </row>
    <row r="661" spans="1:5" x14ac:dyDescent="0.25">
      <c r="A661" t="s">
        <v>6</v>
      </c>
      <c r="B661">
        <v>6</v>
      </c>
      <c r="C661">
        <v>4.8472180167833903E-2</v>
      </c>
      <c r="D661">
        <v>7002</v>
      </c>
      <c r="E661">
        <v>64.242609024047795</v>
      </c>
    </row>
    <row r="662" spans="1:5" x14ac:dyDescent="0.25">
      <c r="A662" t="s">
        <v>5</v>
      </c>
      <c r="B662">
        <v>8</v>
      </c>
      <c r="C662">
        <v>3.3861077030499703E-2</v>
      </c>
      <c r="D662">
        <v>6960</v>
      </c>
      <c r="E662">
        <v>112.507566452026</v>
      </c>
    </row>
    <row r="663" spans="1:5" x14ac:dyDescent="0.25">
      <c r="A663" t="s">
        <v>6</v>
      </c>
      <c r="B663">
        <v>8</v>
      </c>
      <c r="C663">
        <v>2.42221903800964E-2</v>
      </c>
      <c r="D663">
        <v>7002</v>
      </c>
      <c r="E663">
        <v>64.117652177810598</v>
      </c>
    </row>
    <row r="664" spans="1:5" x14ac:dyDescent="0.25">
      <c r="A664" t="s">
        <v>5</v>
      </c>
      <c r="B664">
        <v>9</v>
      </c>
      <c r="C664">
        <v>2.34999714295069E-2</v>
      </c>
      <c r="D664">
        <v>6960</v>
      </c>
      <c r="E664">
        <v>112.499164581298</v>
      </c>
    </row>
    <row r="665" spans="1:5" x14ac:dyDescent="0.25">
      <c r="A665" t="s">
        <v>6</v>
      </c>
      <c r="B665">
        <v>9</v>
      </c>
      <c r="C665">
        <v>1.35277581214904E-2</v>
      </c>
      <c r="D665">
        <v>7002</v>
      </c>
      <c r="E665">
        <v>64.116661310195894</v>
      </c>
    </row>
    <row r="666" spans="1:5" x14ac:dyDescent="0.25">
      <c r="A666" t="s">
        <v>5</v>
      </c>
      <c r="B666">
        <v>10</v>
      </c>
      <c r="C666">
        <v>1.21110963821411E-2</v>
      </c>
      <c r="D666">
        <v>6960</v>
      </c>
      <c r="E666">
        <v>113.25639796257001</v>
      </c>
    </row>
    <row r="667" spans="1:5" x14ac:dyDescent="0.25">
      <c r="A667" t="s">
        <v>6</v>
      </c>
      <c r="B667">
        <v>10</v>
      </c>
      <c r="C667">
        <v>1.09999791781107E-2</v>
      </c>
      <c r="D667">
        <v>7002</v>
      </c>
      <c r="E667">
        <v>63.897799491882303</v>
      </c>
    </row>
    <row r="668" spans="1:5" x14ac:dyDescent="0.25">
      <c r="A668" t="s">
        <v>5</v>
      </c>
      <c r="B668">
        <v>11</v>
      </c>
      <c r="C668">
        <v>7.1666572491327898E-3</v>
      </c>
      <c r="D668">
        <v>6960</v>
      </c>
      <c r="E668">
        <v>112.408870697021</v>
      </c>
    </row>
    <row r="669" spans="1:5" x14ac:dyDescent="0.25">
      <c r="A669" t="s">
        <v>6</v>
      </c>
      <c r="B669">
        <v>11</v>
      </c>
      <c r="C669">
        <v>6.6666535536448104E-3</v>
      </c>
      <c r="D669">
        <v>7002</v>
      </c>
      <c r="E669">
        <v>63.867719411849897</v>
      </c>
    </row>
    <row r="670" spans="1:5" x14ac:dyDescent="0.25">
      <c r="A670" t="s">
        <v>5</v>
      </c>
      <c r="B670">
        <v>12</v>
      </c>
      <c r="C670">
        <v>2.0833253860473599E-3</v>
      </c>
      <c r="D670">
        <v>6960</v>
      </c>
      <c r="E670">
        <v>128.42867326736399</v>
      </c>
    </row>
    <row r="671" spans="1:5" x14ac:dyDescent="0.25">
      <c r="A671" t="s">
        <v>6</v>
      </c>
      <c r="B671">
        <v>12</v>
      </c>
      <c r="C671">
        <v>1.98610067367553E-3</v>
      </c>
      <c r="D671">
        <v>7002</v>
      </c>
      <c r="E671">
        <v>82.871830463409395</v>
      </c>
    </row>
    <row r="672" spans="1:5" x14ac:dyDescent="0.25">
      <c r="A672" t="s">
        <v>5</v>
      </c>
      <c r="B672">
        <v>13</v>
      </c>
      <c r="C672">
        <v>8.6110790570576902E-4</v>
      </c>
      <c r="D672">
        <v>6960</v>
      </c>
      <c r="E672">
        <v>128.09688067436201</v>
      </c>
    </row>
    <row r="673" spans="1:5" x14ac:dyDescent="0.25">
      <c r="A673" t="s">
        <v>6</v>
      </c>
      <c r="B673">
        <v>13</v>
      </c>
      <c r="C673">
        <v>8.0555101235707603E-4</v>
      </c>
      <c r="D673">
        <v>7002</v>
      </c>
      <c r="E673">
        <v>82.495923042297306</v>
      </c>
    </row>
    <row r="674" spans="1:5" x14ac:dyDescent="0.25">
      <c r="A674" t="s">
        <v>5</v>
      </c>
      <c r="B674">
        <v>14</v>
      </c>
      <c r="C674">
        <v>4.3518384297688801E-4</v>
      </c>
      <c r="D674">
        <v>6960</v>
      </c>
      <c r="E674">
        <v>168.424213409423</v>
      </c>
    </row>
    <row r="675" spans="1:5" x14ac:dyDescent="0.25">
      <c r="A675" t="s">
        <v>6</v>
      </c>
      <c r="B675">
        <v>14</v>
      </c>
      <c r="C675">
        <v>4.0740569432576399E-4</v>
      </c>
      <c r="D675">
        <v>7002</v>
      </c>
      <c r="E675">
        <v>98.973815202712998</v>
      </c>
    </row>
    <row r="676" spans="1:5" x14ac:dyDescent="0.25">
      <c r="A676" t="s">
        <v>5</v>
      </c>
      <c r="B676">
        <v>15</v>
      </c>
      <c r="C676" s="1">
        <v>5.5555502573648997E-5</v>
      </c>
      <c r="D676">
        <v>6960</v>
      </c>
      <c r="E676">
        <v>165.199113845825</v>
      </c>
    </row>
    <row r="677" spans="1:5" x14ac:dyDescent="0.25">
      <c r="A677" t="s">
        <v>6</v>
      </c>
      <c r="B677">
        <v>15</v>
      </c>
      <c r="C677">
        <v>1.6666571299235001E-4</v>
      </c>
      <c r="D677">
        <v>7002</v>
      </c>
      <c r="E677">
        <v>98.725530862808199</v>
      </c>
    </row>
    <row r="678" spans="1:5" x14ac:dyDescent="0.25">
      <c r="A678" t="s">
        <v>5</v>
      </c>
      <c r="B678">
        <v>16</v>
      </c>
      <c r="C678">
        <v>2.3148099581400501E-4</v>
      </c>
      <c r="D678">
        <v>6960</v>
      </c>
      <c r="E678">
        <v>164.477301836013</v>
      </c>
    </row>
    <row r="679" spans="1:5" x14ac:dyDescent="0.25">
      <c r="A679" t="s">
        <v>6</v>
      </c>
      <c r="B679">
        <v>16</v>
      </c>
      <c r="C679" s="1">
        <v>1.8518368403116801E-5</v>
      </c>
      <c r="D679">
        <v>7002</v>
      </c>
      <c r="E679">
        <v>98.442714214324894</v>
      </c>
    </row>
    <row r="680" spans="1:5" x14ac:dyDescent="0.25">
      <c r="A680" t="s">
        <v>5</v>
      </c>
      <c r="B680">
        <v>17</v>
      </c>
      <c r="C680" s="1">
        <v>8.33332538604736E-5</v>
      </c>
      <c r="D680">
        <v>6960</v>
      </c>
      <c r="E680">
        <v>165.11760139465301</v>
      </c>
    </row>
    <row r="681" spans="1:5" x14ac:dyDescent="0.25">
      <c r="A681" t="s">
        <v>6</v>
      </c>
      <c r="B681">
        <v>17</v>
      </c>
      <c r="C681" s="1">
        <v>3.7036935488382901E-5</v>
      </c>
      <c r="D681">
        <v>7002</v>
      </c>
      <c r="E681">
        <v>98.442778825759802</v>
      </c>
    </row>
    <row r="682" spans="1:5" x14ac:dyDescent="0.25">
      <c r="A682" t="s">
        <v>5</v>
      </c>
      <c r="B682">
        <v>0</v>
      </c>
      <c r="C682">
        <v>0.18574995756149201</v>
      </c>
      <c r="D682">
        <v>6960</v>
      </c>
      <c r="E682">
        <v>112.49037480354301</v>
      </c>
    </row>
    <row r="683" spans="1:5" x14ac:dyDescent="0.25">
      <c r="A683" t="s">
        <v>6</v>
      </c>
      <c r="B683">
        <v>0</v>
      </c>
      <c r="C683">
        <v>0.18013884782791101</v>
      </c>
      <c r="D683">
        <v>7002</v>
      </c>
      <c r="E683">
        <v>63.961503267288201</v>
      </c>
    </row>
    <row r="684" spans="1:5" x14ac:dyDescent="0.25">
      <c r="A684" t="s">
        <v>5</v>
      </c>
      <c r="B684">
        <v>1</v>
      </c>
      <c r="C684">
        <v>0.16502773582935301</v>
      </c>
      <c r="D684">
        <v>6960</v>
      </c>
      <c r="E684">
        <v>112.57710552215499</v>
      </c>
    </row>
    <row r="685" spans="1:5" x14ac:dyDescent="0.25">
      <c r="A685" t="s">
        <v>6</v>
      </c>
      <c r="B685">
        <v>1</v>
      </c>
      <c r="C685">
        <v>0.15799995740254699</v>
      </c>
      <c r="D685">
        <v>7002</v>
      </c>
      <c r="E685">
        <v>63.802030324935899</v>
      </c>
    </row>
    <row r="686" spans="1:5" x14ac:dyDescent="0.25">
      <c r="A686" t="s">
        <v>5</v>
      </c>
      <c r="B686">
        <v>2</v>
      </c>
      <c r="C686">
        <v>0.141611070036888</v>
      </c>
      <c r="D686">
        <v>6960</v>
      </c>
      <c r="E686">
        <v>112.898666858673</v>
      </c>
    </row>
    <row r="687" spans="1:5" x14ac:dyDescent="0.25">
      <c r="A687" t="s">
        <v>6</v>
      </c>
      <c r="B687">
        <v>2</v>
      </c>
      <c r="C687">
        <v>0.13074995974699599</v>
      </c>
      <c r="D687">
        <v>7002</v>
      </c>
      <c r="E687">
        <v>63.960578918457003</v>
      </c>
    </row>
    <row r="688" spans="1:5" x14ac:dyDescent="0.25">
      <c r="A688" t="s">
        <v>5</v>
      </c>
      <c r="B688">
        <v>3</v>
      </c>
      <c r="C688">
        <v>0.11702773590882599</v>
      </c>
      <c r="D688">
        <v>6960</v>
      </c>
      <c r="E688">
        <v>112.24612545967101</v>
      </c>
    </row>
    <row r="689" spans="1:5" x14ac:dyDescent="0.25">
      <c r="A689" t="s">
        <v>6</v>
      </c>
      <c r="B689">
        <v>3</v>
      </c>
      <c r="C689">
        <v>0.10924995799859299</v>
      </c>
      <c r="D689">
        <v>7002</v>
      </c>
      <c r="E689">
        <v>63.977136850356999</v>
      </c>
    </row>
    <row r="690" spans="1:5" x14ac:dyDescent="0.25">
      <c r="A690" t="s">
        <v>5</v>
      </c>
      <c r="B690">
        <v>4</v>
      </c>
      <c r="C690">
        <v>0.102555514772733</v>
      </c>
      <c r="D690">
        <v>6960</v>
      </c>
      <c r="E690">
        <v>112.683408021926</v>
      </c>
    </row>
    <row r="691" spans="1:5" x14ac:dyDescent="0.25">
      <c r="A691" t="s">
        <v>6</v>
      </c>
      <c r="B691">
        <v>4</v>
      </c>
      <c r="C691">
        <v>8.9055511355400005E-2</v>
      </c>
      <c r="D691">
        <v>7002</v>
      </c>
      <c r="E691">
        <v>64.148898601531897</v>
      </c>
    </row>
    <row r="692" spans="1:5" x14ac:dyDescent="0.25">
      <c r="A692" t="s">
        <v>5</v>
      </c>
      <c r="B692">
        <v>5</v>
      </c>
      <c r="C692">
        <v>7.8166622122128798E-2</v>
      </c>
      <c r="D692">
        <v>6960</v>
      </c>
      <c r="E692">
        <v>112.903224945068</v>
      </c>
    </row>
    <row r="693" spans="1:5" x14ac:dyDescent="0.25">
      <c r="A693" t="s">
        <v>6</v>
      </c>
      <c r="B693">
        <v>5</v>
      </c>
      <c r="C693">
        <v>6.7472178141275999E-2</v>
      </c>
      <c r="D693">
        <v>7002</v>
      </c>
      <c r="E693">
        <v>64.229243993759098</v>
      </c>
    </row>
    <row r="694" spans="1:5" x14ac:dyDescent="0.25">
      <c r="A694" t="s">
        <v>5</v>
      </c>
      <c r="B694">
        <v>6</v>
      </c>
      <c r="C694">
        <v>6.60277334849039E-2</v>
      </c>
      <c r="D694">
        <v>6960</v>
      </c>
      <c r="E694">
        <v>112.68011164665199</v>
      </c>
    </row>
    <row r="695" spans="1:5" x14ac:dyDescent="0.25">
      <c r="A695" t="s">
        <v>6</v>
      </c>
      <c r="B695">
        <v>6</v>
      </c>
      <c r="C695">
        <v>4.8694404760996499E-2</v>
      </c>
      <c r="D695">
        <v>7002</v>
      </c>
      <c r="E695">
        <v>64.369802951812702</v>
      </c>
    </row>
    <row r="696" spans="1:5" x14ac:dyDescent="0.25">
      <c r="A696" t="s">
        <v>5</v>
      </c>
      <c r="B696">
        <v>8</v>
      </c>
      <c r="C696">
        <v>3.2388855020205103E-2</v>
      </c>
      <c r="D696">
        <v>6960</v>
      </c>
      <c r="E696">
        <v>112.341589450836</v>
      </c>
    </row>
    <row r="697" spans="1:5" x14ac:dyDescent="0.25">
      <c r="A697" t="s">
        <v>6</v>
      </c>
      <c r="B697">
        <v>8</v>
      </c>
      <c r="C697">
        <v>2.6138857801755198E-2</v>
      </c>
      <c r="D697">
        <v>7002</v>
      </c>
      <c r="E697">
        <v>63.913447141647303</v>
      </c>
    </row>
    <row r="698" spans="1:5" x14ac:dyDescent="0.25">
      <c r="A698" t="s">
        <v>5</v>
      </c>
      <c r="B698">
        <v>9</v>
      </c>
      <c r="C698">
        <v>2.1555528442064899E-2</v>
      </c>
      <c r="D698">
        <v>6960</v>
      </c>
      <c r="E698">
        <v>112.337410211563</v>
      </c>
    </row>
    <row r="699" spans="1:5" x14ac:dyDescent="0.25">
      <c r="A699" t="s">
        <v>6</v>
      </c>
      <c r="B699">
        <v>9</v>
      </c>
      <c r="C699">
        <v>1.6194420854250501E-2</v>
      </c>
      <c r="D699">
        <v>7002</v>
      </c>
      <c r="E699">
        <v>63.945744037628103</v>
      </c>
    </row>
    <row r="700" spans="1:5" x14ac:dyDescent="0.25">
      <c r="A700" t="s">
        <v>5</v>
      </c>
      <c r="B700">
        <v>10</v>
      </c>
      <c r="C700">
        <v>1.3111094633738199E-2</v>
      </c>
      <c r="D700">
        <v>6960</v>
      </c>
      <c r="E700">
        <v>112.74526333808799</v>
      </c>
    </row>
    <row r="701" spans="1:5" x14ac:dyDescent="0.25">
      <c r="A701" t="s">
        <v>6</v>
      </c>
      <c r="B701">
        <v>10</v>
      </c>
      <c r="C701">
        <v>8.4444312254587806E-3</v>
      </c>
      <c r="D701">
        <v>7002</v>
      </c>
      <c r="E701">
        <v>64.117600917816105</v>
      </c>
    </row>
    <row r="702" spans="1:5" x14ac:dyDescent="0.25">
      <c r="A702" t="s">
        <v>5</v>
      </c>
      <c r="B702">
        <v>11</v>
      </c>
      <c r="C702">
        <v>6.05554600556691E-3</v>
      </c>
      <c r="D702">
        <v>6960</v>
      </c>
      <c r="E702">
        <v>112.936169147491</v>
      </c>
    </row>
    <row r="703" spans="1:5" x14ac:dyDescent="0.25">
      <c r="A703" t="s">
        <v>6</v>
      </c>
      <c r="B703">
        <v>11</v>
      </c>
      <c r="C703">
        <v>6.0277670621871901E-3</v>
      </c>
      <c r="D703">
        <v>7002</v>
      </c>
      <c r="E703">
        <v>63.929191350936797</v>
      </c>
    </row>
    <row r="704" spans="1:5" x14ac:dyDescent="0.25">
      <c r="A704" t="s">
        <v>5</v>
      </c>
      <c r="B704">
        <v>12</v>
      </c>
      <c r="C704">
        <v>2.1527689695358199E-3</v>
      </c>
      <c r="D704">
        <v>6960</v>
      </c>
      <c r="E704">
        <v>128.87807726860001</v>
      </c>
    </row>
    <row r="705" spans="1:5" x14ac:dyDescent="0.25">
      <c r="A705" t="s">
        <v>6</v>
      </c>
      <c r="B705">
        <v>12</v>
      </c>
      <c r="C705">
        <v>2.2638779878616298E-3</v>
      </c>
      <c r="D705">
        <v>7002</v>
      </c>
      <c r="E705">
        <v>82.571757555007906</v>
      </c>
    </row>
    <row r="706" spans="1:5" x14ac:dyDescent="0.25">
      <c r="A706" t="s">
        <v>5</v>
      </c>
      <c r="B706">
        <v>13</v>
      </c>
      <c r="C706">
        <v>6.2499761581420797E-4</v>
      </c>
      <c r="D706">
        <v>6960</v>
      </c>
      <c r="E706">
        <v>129.08640027046201</v>
      </c>
    </row>
    <row r="707" spans="1:5" x14ac:dyDescent="0.25">
      <c r="A707" t="s">
        <v>6</v>
      </c>
      <c r="B707">
        <v>13</v>
      </c>
      <c r="C707">
        <v>6.3888529936472502E-4</v>
      </c>
      <c r="D707">
        <v>7002</v>
      </c>
      <c r="E707">
        <v>82.620946407318101</v>
      </c>
    </row>
    <row r="708" spans="1:5" x14ac:dyDescent="0.25">
      <c r="A708" t="s">
        <v>5</v>
      </c>
      <c r="B708">
        <v>14</v>
      </c>
      <c r="C708">
        <v>3.8888752460479697E-4</v>
      </c>
      <c r="D708">
        <v>6960</v>
      </c>
      <c r="E708">
        <v>166.59349370002701</v>
      </c>
    </row>
    <row r="709" spans="1:5" x14ac:dyDescent="0.25">
      <c r="A709" t="s">
        <v>6</v>
      </c>
      <c r="B709">
        <v>14</v>
      </c>
      <c r="C709">
        <v>3.3333122730255099E-4</v>
      </c>
      <c r="D709">
        <v>7002</v>
      </c>
      <c r="E709">
        <v>98.929225444793701</v>
      </c>
    </row>
    <row r="710" spans="1:5" x14ac:dyDescent="0.25">
      <c r="A710" t="s">
        <v>5</v>
      </c>
      <c r="B710">
        <v>15</v>
      </c>
      <c r="C710">
        <v>1.01851423581441E-4</v>
      </c>
      <c r="D710">
        <v>6960</v>
      </c>
      <c r="E710">
        <v>164.71578240394501</v>
      </c>
    </row>
    <row r="711" spans="1:5" x14ac:dyDescent="0.25">
      <c r="A711" t="s">
        <v>6</v>
      </c>
      <c r="B711">
        <v>15</v>
      </c>
      <c r="C711">
        <v>1.48147145907084E-4</v>
      </c>
      <c r="D711">
        <v>7002</v>
      </c>
      <c r="E711">
        <v>98.755103588104205</v>
      </c>
    </row>
    <row r="712" spans="1:5" x14ac:dyDescent="0.25">
      <c r="A712" t="s">
        <v>5</v>
      </c>
      <c r="B712">
        <v>16</v>
      </c>
      <c r="C712">
        <v>0</v>
      </c>
      <c r="D712">
        <v>6960</v>
      </c>
      <c r="E712">
        <v>164.35841679572999</v>
      </c>
    </row>
    <row r="713" spans="1:5" x14ac:dyDescent="0.25">
      <c r="A713" t="s">
        <v>6</v>
      </c>
      <c r="B713">
        <v>16</v>
      </c>
      <c r="C713" s="1">
        <v>4.6296119689941401E-5</v>
      </c>
      <c r="D713">
        <v>7002</v>
      </c>
      <c r="E713">
        <v>99.038547754287706</v>
      </c>
    </row>
    <row r="714" spans="1:5" x14ac:dyDescent="0.25">
      <c r="A714" t="s">
        <v>5</v>
      </c>
      <c r="B714">
        <v>17</v>
      </c>
      <c r="C714">
        <v>0</v>
      </c>
      <c r="D714">
        <v>6960</v>
      </c>
      <c r="E714">
        <v>164.54887652397099</v>
      </c>
    </row>
    <row r="715" spans="1:5" x14ac:dyDescent="0.25">
      <c r="A715" t="s">
        <v>6</v>
      </c>
      <c r="B715">
        <v>17</v>
      </c>
      <c r="C715" s="1">
        <v>3.7036736806233697E-5</v>
      </c>
      <c r="D715">
        <v>7002</v>
      </c>
      <c r="E715">
        <v>98.864500999450598</v>
      </c>
    </row>
    <row r="716" spans="1:5" x14ac:dyDescent="0.25">
      <c r="A716" t="s">
        <v>5</v>
      </c>
      <c r="B716">
        <v>0</v>
      </c>
      <c r="C716">
        <v>0.19044440289338399</v>
      </c>
      <c r="D716">
        <v>6960</v>
      </c>
      <c r="E716">
        <v>112.79149293899501</v>
      </c>
    </row>
    <row r="717" spans="1:5" x14ac:dyDescent="0.25">
      <c r="A717" t="s">
        <v>6</v>
      </c>
      <c r="B717">
        <v>0</v>
      </c>
      <c r="C717">
        <v>0.18094440301259301</v>
      </c>
      <c r="D717">
        <v>7002</v>
      </c>
      <c r="E717">
        <v>63.802989244461003</v>
      </c>
    </row>
    <row r="718" spans="1:5" x14ac:dyDescent="0.25">
      <c r="A718" t="s">
        <v>5</v>
      </c>
      <c r="B718">
        <v>1</v>
      </c>
      <c r="C718">
        <v>0.16508329073587999</v>
      </c>
      <c r="D718">
        <v>6960</v>
      </c>
      <c r="E718">
        <v>112.55474448203999</v>
      </c>
    </row>
    <row r="719" spans="1:5" x14ac:dyDescent="0.25">
      <c r="A719" t="s">
        <v>6</v>
      </c>
      <c r="B719">
        <v>1</v>
      </c>
      <c r="C719">
        <v>0.15780551314353899</v>
      </c>
      <c r="D719">
        <v>7002</v>
      </c>
      <c r="E719">
        <v>63.818800449371302</v>
      </c>
    </row>
    <row r="720" spans="1:5" x14ac:dyDescent="0.25">
      <c r="A720" t="s">
        <v>5</v>
      </c>
      <c r="B720">
        <v>2</v>
      </c>
      <c r="C720">
        <v>0.140388846596082</v>
      </c>
      <c r="D720">
        <v>6960</v>
      </c>
      <c r="E720">
        <v>112.32729506492601</v>
      </c>
    </row>
    <row r="721" spans="1:5" x14ac:dyDescent="0.25">
      <c r="A721" t="s">
        <v>6</v>
      </c>
      <c r="B721">
        <v>2</v>
      </c>
      <c r="C721">
        <v>0.13349995950857799</v>
      </c>
      <c r="D721">
        <v>7002</v>
      </c>
      <c r="E721">
        <v>63.773072481155303</v>
      </c>
    </row>
    <row r="722" spans="1:5" x14ac:dyDescent="0.25">
      <c r="A722" t="s">
        <v>5</v>
      </c>
      <c r="B722">
        <v>3</v>
      </c>
      <c r="C722">
        <v>0.121444404125213</v>
      </c>
      <c r="D722">
        <v>6960</v>
      </c>
      <c r="E722">
        <v>112.786806106567</v>
      </c>
    </row>
    <row r="723" spans="1:5" x14ac:dyDescent="0.25">
      <c r="A723" t="s">
        <v>6</v>
      </c>
      <c r="B723">
        <v>3</v>
      </c>
      <c r="C723">
        <v>0.109249956409136</v>
      </c>
      <c r="D723">
        <v>7002</v>
      </c>
      <c r="E723">
        <v>63.945756435394202</v>
      </c>
    </row>
    <row r="724" spans="1:5" x14ac:dyDescent="0.25">
      <c r="A724" t="s">
        <v>5</v>
      </c>
      <c r="B724">
        <v>4</v>
      </c>
      <c r="C724">
        <v>0.10063884536425199</v>
      </c>
      <c r="D724">
        <v>6960</v>
      </c>
      <c r="E724">
        <v>112.515193939208</v>
      </c>
    </row>
    <row r="725" spans="1:5" x14ac:dyDescent="0.25">
      <c r="A725" t="s">
        <v>6</v>
      </c>
      <c r="B725">
        <v>4</v>
      </c>
      <c r="C725">
        <v>8.5972179571787502E-2</v>
      </c>
      <c r="D725">
        <v>7002</v>
      </c>
      <c r="E725">
        <v>63.836574077606201</v>
      </c>
    </row>
    <row r="726" spans="1:5" x14ac:dyDescent="0.25">
      <c r="A726" t="s">
        <v>5</v>
      </c>
      <c r="B726">
        <v>5</v>
      </c>
      <c r="C726">
        <v>7.7138843933741194E-2</v>
      </c>
      <c r="D726">
        <v>6960</v>
      </c>
      <c r="E726">
        <v>112.293940305709</v>
      </c>
    </row>
    <row r="727" spans="1:5" x14ac:dyDescent="0.25">
      <c r="A727" t="s">
        <v>6</v>
      </c>
      <c r="B727">
        <v>5</v>
      </c>
      <c r="C727">
        <v>6.5083289941151895E-2</v>
      </c>
      <c r="D727">
        <v>7002</v>
      </c>
      <c r="E727">
        <v>63.741829395294097</v>
      </c>
    </row>
    <row r="728" spans="1:5" x14ac:dyDescent="0.25">
      <c r="A728" t="s">
        <v>5</v>
      </c>
      <c r="B728">
        <v>6</v>
      </c>
      <c r="C728">
        <v>6.2972179055213906E-2</v>
      </c>
      <c r="D728">
        <v>6960</v>
      </c>
      <c r="E728">
        <v>112.87133526802</v>
      </c>
    </row>
    <row r="729" spans="1:5" x14ac:dyDescent="0.25">
      <c r="A729" t="s">
        <v>6</v>
      </c>
      <c r="B729">
        <v>6</v>
      </c>
      <c r="C729">
        <v>4.6805512905120798E-2</v>
      </c>
      <c r="D729">
        <v>7002</v>
      </c>
      <c r="E729">
        <v>64.278145313262897</v>
      </c>
    </row>
    <row r="730" spans="1:5" x14ac:dyDescent="0.25">
      <c r="A730" t="s">
        <v>5</v>
      </c>
      <c r="B730">
        <v>8</v>
      </c>
      <c r="C730">
        <v>3.2722187042236298E-2</v>
      </c>
      <c r="D730">
        <v>6960</v>
      </c>
      <c r="E730">
        <v>112.54015135765</v>
      </c>
    </row>
    <row r="731" spans="1:5" x14ac:dyDescent="0.25">
      <c r="A731" t="s">
        <v>6</v>
      </c>
      <c r="B731">
        <v>8</v>
      </c>
      <c r="C731">
        <v>2.2972191174825001E-2</v>
      </c>
      <c r="D731">
        <v>7002</v>
      </c>
      <c r="E731">
        <v>64.069687843322697</v>
      </c>
    </row>
    <row r="732" spans="1:5" x14ac:dyDescent="0.25">
      <c r="A732" t="s">
        <v>5</v>
      </c>
      <c r="B732">
        <v>9</v>
      </c>
      <c r="C732">
        <v>2.11666411161422E-2</v>
      </c>
      <c r="D732">
        <v>6960</v>
      </c>
      <c r="E732">
        <v>113.125029563903</v>
      </c>
    </row>
    <row r="733" spans="1:5" x14ac:dyDescent="0.25">
      <c r="A733" t="s">
        <v>6</v>
      </c>
      <c r="B733">
        <v>9</v>
      </c>
      <c r="C733">
        <v>1.3249977032343501E-2</v>
      </c>
      <c r="D733">
        <v>7002</v>
      </c>
      <c r="E733">
        <v>64.069688320159898</v>
      </c>
    </row>
    <row r="734" spans="1:5" x14ac:dyDescent="0.25">
      <c r="A734" t="s">
        <v>5</v>
      </c>
      <c r="B734">
        <v>10</v>
      </c>
      <c r="C734">
        <v>1.18333176771799E-2</v>
      </c>
      <c r="D734">
        <v>6960</v>
      </c>
      <c r="E734">
        <v>112.5433344841</v>
      </c>
    </row>
    <row r="735" spans="1:5" x14ac:dyDescent="0.25">
      <c r="A735" t="s">
        <v>6</v>
      </c>
      <c r="B735">
        <v>10</v>
      </c>
      <c r="C735">
        <v>1.11666456858317E-2</v>
      </c>
      <c r="D735">
        <v>7002</v>
      </c>
      <c r="E735">
        <v>64.008174180984497</v>
      </c>
    </row>
    <row r="736" spans="1:5" x14ac:dyDescent="0.25">
      <c r="A736" t="s">
        <v>5</v>
      </c>
      <c r="B736">
        <v>11</v>
      </c>
      <c r="C736">
        <v>7.0277692874272596E-3</v>
      </c>
      <c r="D736">
        <v>6960</v>
      </c>
      <c r="E736">
        <v>112.935146331787</v>
      </c>
    </row>
    <row r="737" spans="1:5" x14ac:dyDescent="0.25">
      <c r="A737" t="s">
        <v>6</v>
      </c>
      <c r="B737">
        <v>11</v>
      </c>
      <c r="C737">
        <v>6.0555428266525196E-3</v>
      </c>
      <c r="D737">
        <v>7002</v>
      </c>
      <c r="E737">
        <v>66.040708303451495</v>
      </c>
    </row>
    <row r="738" spans="1:5" x14ac:dyDescent="0.25">
      <c r="A738" t="s">
        <v>5</v>
      </c>
      <c r="B738">
        <v>12</v>
      </c>
      <c r="C738">
        <v>2.4861005942026699E-3</v>
      </c>
      <c r="D738">
        <v>6960</v>
      </c>
      <c r="E738">
        <v>131.38388609886101</v>
      </c>
    </row>
    <row r="739" spans="1:5" x14ac:dyDescent="0.25">
      <c r="A739" t="s">
        <v>6</v>
      </c>
      <c r="B739">
        <v>12</v>
      </c>
      <c r="C739">
        <v>2.4583210547765E-3</v>
      </c>
      <c r="D739">
        <v>7002</v>
      </c>
      <c r="E739">
        <v>82.698969602584796</v>
      </c>
    </row>
    <row r="740" spans="1:5" x14ac:dyDescent="0.25">
      <c r="A740" t="s">
        <v>5</v>
      </c>
      <c r="B740">
        <v>13</v>
      </c>
      <c r="C740">
        <v>6.8055252234140999E-4</v>
      </c>
      <c r="D740">
        <v>6960</v>
      </c>
      <c r="E740">
        <v>128.59832072257899</v>
      </c>
    </row>
    <row r="741" spans="1:5" x14ac:dyDescent="0.25">
      <c r="A741" t="s">
        <v>6</v>
      </c>
      <c r="B741">
        <v>13</v>
      </c>
      <c r="C741">
        <v>1.12499356269836E-3</v>
      </c>
      <c r="D741">
        <v>7002</v>
      </c>
      <c r="E741">
        <v>82.589648008346501</v>
      </c>
    </row>
    <row r="742" spans="1:5" x14ac:dyDescent="0.25">
      <c r="A742" t="s">
        <v>5</v>
      </c>
      <c r="B742">
        <v>14</v>
      </c>
      <c r="C742">
        <v>5.8333178361256901E-4</v>
      </c>
      <c r="D742">
        <v>6960</v>
      </c>
      <c r="E742">
        <v>182.12591648101801</v>
      </c>
    </row>
    <row r="743" spans="1:5" x14ac:dyDescent="0.25">
      <c r="A743" t="s">
        <v>6</v>
      </c>
      <c r="B743">
        <v>14</v>
      </c>
      <c r="C743">
        <v>4.9073835213978999E-4</v>
      </c>
      <c r="D743">
        <v>7002</v>
      </c>
      <c r="E743">
        <v>99.280184984207096</v>
      </c>
    </row>
    <row r="744" spans="1:5" x14ac:dyDescent="0.25">
      <c r="A744" t="s">
        <v>5</v>
      </c>
      <c r="B744">
        <v>15</v>
      </c>
      <c r="C744">
        <v>1.11110806465148E-4</v>
      </c>
      <c r="D744">
        <v>6960</v>
      </c>
      <c r="E744">
        <v>168.146530628204</v>
      </c>
    </row>
    <row r="745" spans="1:5" x14ac:dyDescent="0.25">
      <c r="A745" t="s">
        <v>6</v>
      </c>
      <c r="B745">
        <v>15</v>
      </c>
      <c r="C745">
        <v>1.38888160387674E-4</v>
      </c>
      <c r="D745">
        <v>7002</v>
      </c>
      <c r="E745">
        <v>98.755276441574097</v>
      </c>
    </row>
    <row r="746" spans="1:5" x14ac:dyDescent="0.25">
      <c r="A746" t="s">
        <v>5</v>
      </c>
      <c r="B746">
        <v>16</v>
      </c>
      <c r="C746">
        <v>0</v>
      </c>
      <c r="D746">
        <v>6960</v>
      </c>
      <c r="E746">
        <v>166.93857383727999</v>
      </c>
    </row>
    <row r="747" spans="1:5" x14ac:dyDescent="0.25">
      <c r="A747" t="s">
        <v>6</v>
      </c>
      <c r="B747">
        <v>16</v>
      </c>
      <c r="C747" s="1">
        <v>1.8518368403116801E-5</v>
      </c>
      <c r="D747">
        <v>7002</v>
      </c>
      <c r="E747">
        <v>98.896981239318805</v>
      </c>
    </row>
    <row r="748" spans="1:5" x14ac:dyDescent="0.25">
      <c r="A748" t="s">
        <v>5</v>
      </c>
      <c r="B748">
        <v>17</v>
      </c>
      <c r="C748">
        <v>0</v>
      </c>
      <c r="D748">
        <v>6960</v>
      </c>
      <c r="E748">
        <v>165.717683553695</v>
      </c>
    </row>
    <row r="749" spans="1:5" x14ac:dyDescent="0.25">
      <c r="A749" t="s">
        <v>6</v>
      </c>
      <c r="B749">
        <v>17</v>
      </c>
      <c r="C749" s="1">
        <v>3.7036935488382901E-5</v>
      </c>
      <c r="D749">
        <v>7002</v>
      </c>
      <c r="E749">
        <v>98.711253404617295</v>
      </c>
    </row>
    <row r="750" spans="1:5" x14ac:dyDescent="0.25">
      <c r="A750" t="s">
        <v>5</v>
      </c>
      <c r="B750">
        <v>0</v>
      </c>
      <c r="C750">
        <v>0.18977773567040701</v>
      </c>
      <c r="D750">
        <v>6960</v>
      </c>
      <c r="E750">
        <v>113.06013464927599</v>
      </c>
    </row>
    <row r="751" spans="1:5" x14ac:dyDescent="0.25">
      <c r="A751" t="s">
        <v>6</v>
      </c>
      <c r="B751">
        <v>0</v>
      </c>
      <c r="C751">
        <v>0.181194403370221</v>
      </c>
      <c r="D751">
        <v>7002</v>
      </c>
      <c r="E751">
        <v>75.9326589107513</v>
      </c>
    </row>
    <row r="752" spans="1:5" x14ac:dyDescent="0.25">
      <c r="A752" t="s">
        <v>5</v>
      </c>
      <c r="B752">
        <v>1</v>
      </c>
      <c r="C752">
        <v>0.16394440333048499</v>
      </c>
      <c r="D752">
        <v>6960</v>
      </c>
      <c r="E752">
        <v>156.91777110099699</v>
      </c>
    </row>
    <row r="753" spans="1:5" x14ac:dyDescent="0.25">
      <c r="A753" t="s">
        <v>6</v>
      </c>
      <c r="B753">
        <v>1</v>
      </c>
      <c r="C753">
        <v>0.15686106880505801</v>
      </c>
      <c r="D753">
        <v>7002</v>
      </c>
      <c r="E753">
        <v>73.653983354568396</v>
      </c>
    </row>
    <row r="754" spans="1:5" x14ac:dyDescent="0.25">
      <c r="A754" t="s">
        <v>5</v>
      </c>
      <c r="B754">
        <v>2</v>
      </c>
      <c r="C754">
        <v>0.14280551354090301</v>
      </c>
      <c r="D754">
        <v>6960</v>
      </c>
      <c r="E754">
        <v>117.722547769546</v>
      </c>
    </row>
    <row r="755" spans="1:5" x14ac:dyDescent="0.25">
      <c r="A755" t="s">
        <v>6</v>
      </c>
      <c r="B755">
        <v>2</v>
      </c>
      <c r="C755">
        <v>0.133666625618934</v>
      </c>
      <c r="D755">
        <v>7002</v>
      </c>
      <c r="E755">
        <v>65.9188551902771</v>
      </c>
    </row>
    <row r="756" spans="1:5" x14ac:dyDescent="0.25">
      <c r="A756" t="s">
        <v>5</v>
      </c>
      <c r="B756">
        <v>3</v>
      </c>
      <c r="C756">
        <v>0.124055515726407</v>
      </c>
      <c r="D756">
        <v>6960</v>
      </c>
      <c r="E756">
        <v>118.950018167495</v>
      </c>
    </row>
    <row r="757" spans="1:5" x14ac:dyDescent="0.25">
      <c r="A757" t="s">
        <v>6</v>
      </c>
      <c r="B757">
        <v>3</v>
      </c>
      <c r="C757">
        <v>0.10938884794712</v>
      </c>
      <c r="D757">
        <v>7002</v>
      </c>
      <c r="E757">
        <v>66.648264408111501</v>
      </c>
    </row>
    <row r="758" spans="1:5" x14ac:dyDescent="0.25">
      <c r="A758" t="s">
        <v>5</v>
      </c>
      <c r="B758">
        <v>4</v>
      </c>
      <c r="C758">
        <v>9.8472179174423205E-2</v>
      </c>
      <c r="D758">
        <v>6960</v>
      </c>
      <c r="E758">
        <v>115.44389796257001</v>
      </c>
    </row>
    <row r="759" spans="1:5" x14ac:dyDescent="0.25">
      <c r="A759" t="s">
        <v>6</v>
      </c>
      <c r="B759">
        <v>4</v>
      </c>
      <c r="C759">
        <v>8.5111067692438702E-2</v>
      </c>
      <c r="D759">
        <v>7002</v>
      </c>
      <c r="E759">
        <v>66.133260488510103</v>
      </c>
    </row>
    <row r="760" spans="1:5" x14ac:dyDescent="0.25">
      <c r="A760" t="s">
        <v>5</v>
      </c>
      <c r="B760">
        <v>5</v>
      </c>
      <c r="C760">
        <v>7.8499955137570701E-2</v>
      </c>
      <c r="D760">
        <v>6960</v>
      </c>
      <c r="E760">
        <v>116.272643327713</v>
      </c>
    </row>
    <row r="761" spans="1:5" x14ac:dyDescent="0.25">
      <c r="A761" t="s">
        <v>6</v>
      </c>
      <c r="B761">
        <v>5</v>
      </c>
      <c r="C761">
        <v>6.7805509765942795E-2</v>
      </c>
      <c r="D761">
        <v>7002</v>
      </c>
      <c r="E761">
        <v>64.870706558227496</v>
      </c>
    </row>
    <row r="762" spans="1:5" x14ac:dyDescent="0.25">
      <c r="A762" t="s">
        <v>5</v>
      </c>
      <c r="B762">
        <v>6</v>
      </c>
      <c r="C762">
        <v>6.6472178101539603E-2</v>
      </c>
      <c r="D762">
        <v>6960</v>
      </c>
      <c r="E762">
        <v>114.609872102737</v>
      </c>
    </row>
    <row r="763" spans="1:5" x14ac:dyDescent="0.25">
      <c r="A763" t="s">
        <v>6</v>
      </c>
      <c r="B763">
        <v>6</v>
      </c>
      <c r="C763">
        <v>4.7944403886795002E-2</v>
      </c>
      <c r="D763">
        <v>7002</v>
      </c>
      <c r="E763">
        <v>64.782714128494206</v>
      </c>
    </row>
    <row r="764" spans="1:5" x14ac:dyDescent="0.25">
      <c r="A764" t="s">
        <v>5</v>
      </c>
      <c r="B764">
        <v>8</v>
      </c>
      <c r="C764">
        <v>3.4444408218065797E-2</v>
      </c>
      <c r="D764">
        <v>6960</v>
      </c>
      <c r="E764">
        <v>118.599117279052</v>
      </c>
    </row>
    <row r="765" spans="1:5" x14ac:dyDescent="0.25">
      <c r="A765" t="s">
        <v>6</v>
      </c>
      <c r="B765">
        <v>8</v>
      </c>
      <c r="C765">
        <v>2.3444414536158201E-2</v>
      </c>
      <c r="D765">
        <v>7002</v>
      </c>
      <c r="E765">
        <v>70.830420494079505</v>
      </c>
    </row>
    <row r="766" spans="1:5" x14ac:dyDescent="0.25">
      <c r="A766" t="s">
        <v>5</v>
      </c>
      <c r="B766">
        <v>9</v>
      </c>
      <c r="C766">
        <v>2.3888859947522399E-2</v>
      </c>
      <c r="D766">
        <v>6960</v>
      </c>
      <c r="E766">
        <v>138.09107995033199</v>
      </c>
    </row>
    <row r="767" spans="1:5" x14ac:dyDescent="0.25">
      <c r="A767" t="s">
        <v>6</v>
      </c>
      <c r="B767">
        <v>9</v>
      </c>
      <c r="C767">
        <v>1.5055533846219301E-2</v>
      </c>
      <c r="D767">
        <v>7002</v>
      </c>
      <c r="E767">
        <v>81.741748332977295</v>
      </c>
    </row>
    <row r="768" spans="1:5" x14ac:dyDescent="0.25">
      <c r="A768" t="s">
        <v>5</v>
      </c>
      <c r="B768">
        <v>10</v>
      </c>
      <c r="C768">
        <v>1.4999982913335101E-2</v>
      </c>
      <c r="D768">
        <v>6960</v>
      </c>
      <c r="E768">
        <v>133.52584815025301</v>
      </c>
    </row>
    <row r="769" spans="1:5" x14ac:dyDescent="0.25">
      <c r="A769" t="s">
        <v>6</v>
      </c>
      <c r="B769">
        <v>10</v>
      </c>
      <c r="C769">
        <v>1.04444271326065E-2</v>
      </c>
      <c r="D769">
        <v>7002</v>
      </c>
      <c r="E769">
        <v>73.588492393493596</v>
      </c>
    </row>
    <row r="770" spans="1:5" x14ac:dyDescent="0.25">
      <c r="A770" t="s">
        <v>5</v>
      </c>
      <c r="B770">
        <v>11</v>
      </c>
      <c r="C770">
        <v>6.1666570107142098E-3</v>
      </c>
      <c r="D770">
        <v>6960</v>
      </c>
      <c r="E770">
        <v>133.403913974761</v>
      </c>
    </row>
    <row r="771" spans="1:5" x14ac:dyDescent="0.25">
      <c r="A771" t="s">
        <v>6</v>
      </c>
      <c r="B771">
        <v>11</v>
      </c>
      <c r="C771">
        <v>5.8055430650711002E-3</v>
      </c>
      <c r="D771">
        <v>7002</v>
      </c>
      <c r="E771">
        <v>72.051949024200397</v>
      </c>
    </row>
    <row r="772" spans="1:5" x14ac:dyDescent="0.25">
      <c r="A772" t="s">
        <v>5</v>
      </c>
      <c r="B772">
        <v>12</v>
      </c>
      <c r="C772">
        <v>2.77776519457499E-3</v>
      </c>
      <c r="D772">
        <v>6960</v>
      </c>
      <c r="E772">
        <v>158.33386111259401</v>
      </c>
    </row>
    <row r="773" spans="1:5" x14ac:dyDescent="0.25">
      <c r="A773" t="s">
        <v>6</v>
      </c>
      <c r="B773">
        <v>12</v>
      </c>
      <c r="C773">
        <v>1.51388128598531E-3</v>
      </c>
      <c r="D773">
        <v>7002</v>
      </c>
      <c r="E773">
        <v>96.670271873474107</v>
      </c>
    </row>
    <row r="774" spans="1:5" x14ac:dyDescent="0.25">
      <c r="A774" t="s">
        <v>5</v>
      </c>
      <c r="B774">
        <v>13</v>
      </c>
      <c r="C774">
        <v>8.05552800496419E-4</v>
      </c>
      <c r="D774">
        <v>6960</v>
      </c>
      <c r="E774">
        <v>133.954997301101</v>
      </c>
    </row>
    <row r="775" spans="1:5" x14ac:dyDescent="0.25">
      <c r="A775" t="s">
        <v>6</v>
      </c>
      <c r="B775">
        <v>13</v>
      </c>
      <c r="C775">
        <v>1.19443813959757E-3</v>
      </c>
      <c r="D775">
        <v>7002</v>
      </c>
      <c r="E775">
        <v>85.740153074264498</v>
      </c>
    </row>
    <row r="776" spans="1:5" x14ac:dyDescent="0.25">
      <c r="A776" t="s">
        <v>5</v>
      </c>
      <c r="B776">
        <v>14</v>
      </c>
      <c r="C776">
        <v>4.07406489054361E-4</v>
      </c>
      <c r="D776">
        <v>6960</v>
      </c>
      <c r="E776">
        <v>180.820206880569</v>
      </c>
    </row>
    <row r="777" spans="1:5" x14ac:dyDescent="0.25">
      <c r="A777" t="s">
        <v>6</v>
      </c>
      <c r="B777">
        <v>14</v>
      </c>
      <c r="C777">
        <v>7.0370117823282795E-4</v>
      </c>
      <c r="D777">
        <v>7002</v>
      </c>
      <c r="E777">
        <v>99.438231229782104</v>
      </c>
    </row>
    <row r="778" spans="1:5" x14ac:dyDescent="0.25">
      <c r="A778" t="s">
        <v>5</v>
      </c>
      <c r="B778">
        <v>15</v>
      </c>
      <c r="C778" s="1">
        <v>2.7777751286824498E-5</v>
      </c>
      <c r="D778">
        <v>6960</v>
      </c>
      <c r="E778">
        <v>169.37609577178901</v>
      </c>
    </row>
    <row r="779" spans="1:5" x14ac:dyDescent="0.25">
      <c r="A779" t="s">
        <v>6</v>
      </c>
      <c r="B779">
        <v>15</v>
      </c>
      <c r="C779">
        <v>1.20369791984558E-4</v>
      </c>
      <c r="D779">
        <v>7002</v>
      </c>
      <c r="E779">
        <v>98.897101640701294</v>
      </c>
    </row>
    <row r="780" spans="1:5" x14ac:dyDescent="0.25">
      <c r="A780" t="s">
        <v>5</v>
      </c>
      <c r="B780">
        <v>16</v>
      </c>
      <c r="C780" s="1">
        <v>3.7036935488382901E-5</v>
      </c>
      <c r="D780">
        <v>6960</v>
      </c>
      <c r="E780">
        <v>166.457752943038</v>
      </c>
    </row>
    <row r="781" spans="1:5" x14ac:dyDescent="0.25">
      <c r="A781" t="s">
        <v>6</v>
      </c>
      <c r="B781">
        <v>16</v>
      </c>
      <c r="C781" s="1">
        <v>5.55553038914998E-5</v>
      </c>
      <c r="D781">
        <v>7002</v>
      </c>
      <c r="E781">
        <v>99.021997451782198</v>
      </c>
    </row>
    <row r="782" spans="1:5" x14ac:dyDescent="0.25">
      <c r="A782" t="s">
        <v>5</v>
      </c>
      <c r="B782">
        <v>17</v>
      </c>
      <c r="C782" s="1">
        <v>5.5555502573648997E-5</v>
      </c>
      <c r="D782">
        <v>6960</v>
      </c>
      <c r="E782">
        <v>166.85758137702899</v>
      </c>
    </row>
    <row r="783" spans="1:5" x14ac:dyDescent="0.25">
      <c r="A783" t="s">
        <v>6</v>
      </c>
      <c r="B783">
        <v>17</v>
      </c>
      <c r="C783">
        <v>0</v>
      </c>
      <c r="D783">
        <v>7002</v>
      </c>
      <c r="E783">
        <v>101.598935604095</v>
      </c>
    </row>
    <row r="784" spans="1:5" x14ac:dyDescent="0.25">
      <c r="A784" t="s">
        <v>5</v>
      </c>
      <c r="B784">
        <v>0</v>
      </c>
      <c r="C784">
        <v>0.185777736107508</v>
      </c>
      <c r="D784">
        <v>6960</v>
      </c>
      <c r="E784">
        <v>114.302753686904</v>
      </c>
    </row>
    <row r="785" spans="1:5" x14ac:dyDescent="0.25">
      <c r="A785" t="s">
        <v>6</v>
      </c>
      <c r="B785">
        <v>0</v>
      </c>
      <c r="C785">
        <v>0.18030551354090299</v>
      </c>
      <c r="D785">
        <v>7002</v>
      </c>
      <c r="E785">
        <v>65.1819615364074</v>
      </c>
    </row>
    <row r="786" spans="1:5" x14ac:dyDescent="0.25">
      <c r="A786" t="s">
        <v>5</v>
      </c>
      <c r="B786">
        <v>1</v>
      </c>
      <c r="C786">
        <v>0.167361068924268</v>
      </c>
      <c r="D786">
        <v>6960</v>
      </c>
      <c r="E786">
        <v>120.297788381576</v>
      </c>
    </row>
    <row r="787" spans="1:5" x14ac:dyDescent="0.25">
      <c r="A787" t="s">
        <v>6</v>
      </c>
      <c r="B787">
        <v>1</v>
      </c>
      <c r="C787">
        <v>0.15788884699344599</v>
      </c>
      <c r="D787">
        <v>7002</v>
      </c>
      <c r="E787">
        <v>73.162543535232501</v>
      </c>
    </row>
    <row r="788" spans="1:5" x14ac:dyDescent="0.25">
      <c r="A788" t="s">
        <v>5</v>
      </c>
      <c r="B788">
        <v>2</v>
      </c>
      <c r="C788">
        <v>0.142999959190686</v>
      </c>
      <c r="D788">
        <v>6960</v>
      </c>
      <c r="E788">
        <v>125.499483823776</v>
      </c>
    </row>
    <row r="789" spans="1:5" x14ac:dyDescent="0.25">
      <c r="A789" t="s">
        <v>6</v>
      </c>
      <c r="B789">
        <v>2</v>
      </c>
      <c r="C789">
        <v>0.13277773539225199</v>
      </c>
      <c r="D789">
        <v>7002</v>
      </c>
      <c r="E789">
        <v>75.588255167007404</v>
      </c>
    </row>
    <row r="790" spans="1:5" x14ac:dyDescent="0.25">
      <c r="A790" t="s">
        <v>5</v>
      </c>
      <c r="B790">
        <v>3</v>
      </c>
      <c r="C790">
        <v>0.119972181121508</v>
      </c>
      <c r="D790">
        <v>6960</v>
      </c>
      <c r="E790">
        <v>152.115620613098</v>
      </c>
    </row>
    <row r="791" spans="1:5" x14ac:dyDescent="0.25">
      <c r="A791" t="s">
        <v>6</v>
      </c>
      <c r="B791">
        <v>3</v>
      </c>
      <c r="C791">
        <v>0.110388846198717</v>
      </c>
      <c r="D791">
        <v>7002</v>
      </c>
      <c r="E791">
        <v>84.144212961196899</v>
      </c>
    </row>
    <row r="792" spans="1:5" x14ac:dyDescent="0.25">
      <c r="A792" t="s">
        <v>5</v>
      </c>
      <c r="B792">
        <v>4</v>
      </c>
      <c r="C792">
        <v>0.104361070195833</v>
      </c>
      <c r="D792">
        <v>6960</v>
      </c>
      <c r="E792">
        <v>156.838074445724</v>
      </c>
    </row>
    <row r="793" spans="1:5" x14ac:dyDescent="0.25">
      <c r="A793" t="s">
        <v>6</v>
      </c>
      <c r="B793">
        <v>4</v>
      </c>
      <c r="C793">
        <v>8.7111067175865101E-2</v>
      </c>
      <c r="D793">
        <v>7002</v>
      </c>
      <c r="E793">
        <v>79.552776813506995</v>
      </c>
    </row>
    <row r="794" spans="1:5" x14ac:dyDescent="0.25">
      <c r="A794" t="s">
        <v>5</v>
      </c>
      <c r="B794">
        <v>5</v>
      </c>
      <c r="C794">
        <v>7.8444401025772006E-2</v>
      </c>
      <c r="D794">
        <v>6960</v>
      </c>
      <c r="E794">
        <v>148.83179926872199</v>
      </c>
    </row>
    <row r="795" spans="1:5" x14ac:dyDescent="0.25">
      <c r="A795" t="s">
        <v>6</v>
      </c>
      <c r="B795">
        <v>5</v>
      </c>
      <c r="C795">
        <v>6.4249956607818598E-2</v>
      </c>
      <c r="D795">
        <v>7002</v>
      </c>
      <c r="E795">
        <v>86.446666240692096</v>
      </c>
    </row>
    <row r="796" spans="1:5" x14ac:dyDescent="0.25">
      <c r="A796" t="s">
        <v>5</v>
      </c>
      <c r="B796">
        <v>6</v>
      </c>
      <c r="C796">
        <v>6.5583291252454101E-2</v>
      </c>
      <c r="D796">
        <v>6960</v>
      </c>
      <c r="E796">
        <v>140.58812689781101</v>
      </c>
    </row>
    <row r="797" spans="1:5" x14ac:dyDescent="0.25">
      <c r="A797" t="s">
        <v>6</v>
      </c>
      <c r="B797">
        <v>6</v>
      </c>
      <c r="C797">
        <v>4.9055513342221503E-2</v>
      </c>
      <c r="D797">
        <v>7002</v>
      </c>
      <c r="E797">
        <v>81.513004064559894</v>
      </c>
    </row>
    <row r="798" spans="1:5" x14ac:dyDescent="0.25">
      <c r="A798" t="s">
        <v>5</v>
      </c>
      <c r="B798">
        <v>8</v>
      </c>
      <c r="C798">
        <v>3.0444411238034499E-2</v>
      </c>
      <c r="D798">
        <v>6960</v>
      </c>
      <c r="E798">
        <v>127.049029827117</v>
      </c>
    </row>
    <row r="799" spans="1:5" x14ac:dyDescent="0.25">
      <c r="A799" t="s">
        <v>6</v>
      </c>
      <c r="B799">
        <v>8</v>
      </c>
      <c r="C799">
        <v>2.2916638652483601E-2</v>
      </c>
      <c r="D799">
        <v>7002</v>
      </c>
      <c r="E799">
        <v>64.865542411804199</v>
      </c>
    </row>
    <row r="800" spans="1:5" x14ac:dyDescent="0.25">
      <c r="A800" t="s">
        <v>5</v>
      </c>
      <c r="B800">
        <v>9</v>
      </c>
      <c r="C800">
        <v>2.2944416205088299E-2</v>
      </c>
      <c r="D800">
        <v>6960</v>
      </c>
      <c r="E800">
        <v>112.48070693016</v>
      </c>
    </row>
    <row r="801" spans="1:5" x14ac:dyDescent="0.25">
      <c r="A801" t="s">
        <v>6</v>
      </c>
      <c r="B801">
        <v>9</v>
      </c>
      <c r="C801">
        <v>1.5027752518653801E-2</v>
      </c>
      <c r="D801">
        <v>7002</v>
      </c>
      <c r="E801">
        <v>64.171699523925696</v>
      </c>
    </row>
    <row r="802" spans="1:5" x14ac:dyDescent="0.25">
      <c r="A802" t="s">
        <v>5</v>
      </c>
      <c r="B802">
        <v>10</v>
      </c>
      <c r="C802">
        <v>1.27222043275833E-2</v>
      </c>
      <c r="D802">
        <v>6960</v>
      </c>
      <c r="E802">
        <v>112.861456155776</v>
      </c>
    </row>
    <row r="803" spans="1:5" x14ac:dyDescent="0.25">
      <c r="A803" t="s">
        <v>6</v>
      </c>
      <c r="B803">
        <v>10</v>
      </c>
      <c r="C803">
        <v>1.20277573664983E-2</v>
      </c>
      <c r="D803">
        <v>7002</v>
      </c>
      <c r="E803">
        <v>64.020174503326402</v>
      </c>
    </row>
    <row r="804" spans="1:5" x14ac:dyDescent="0.25">
      <c r="A804" t="s">
        <v>5</v>
      </c>
      <c r="B804">
        <v>11</v>
      </c>
      <c r="C804">
        <v>5.9999918937683099E-3</v>
      </c>
      <c r="D804">
        <v>6960</v>
      </c>
      <c r="E804">
        <v>112.516633987426</v>
      </c>
    </row>
    <row r="805" spans="1:5" x14ac:dyDescent="0.25">
      <c r="A805" t="s">
        <v>6</v>
      </c>
      <c r="B805">
        <v>11</v>
      </c>
      <c r="C805">
        <v>4.5555468400319396E-3</v>
      </c>
      <c r="D805">
        <v>7002</v>
      </c>
      <c r="E805">
        <v>63.605090618133502</v>
      </c>
    </row>
    <row r="806" spans="1:5" x14ac:dyDescent="0.25">
      <c r="A806" t="s">
        <v>5</v>
      </c>
      <c r="B806">
        <v>12</v>
      </c>
      <c r="C806">
        <v>2.5277670224507602E-3</v>
      </c>
      <c r="D806">
        <v>6960</v>
      </c>
      <c r="E806">
        <v>128.52144241332999</v>
      </c>
    </row>
    <row r="807" spans="1:5" x14ac:dyDescent="0.25">
      <c r="A807" t="s">
        <v>6</v>
      </c>
      <c r="B807">
        <v>12</v>
      </c>
      <c r="C807">
        <v>2.3749885956446302E-3</v>
      </c>
      <c r="D807">
        <v>7002</v>
      </c>
      <c r="E807">
        <v>81.988638401031494</v>
      </c>
    </row>
    <row r="808" spans="1:5" x14ac:dyDescent="0.25">
      <c r="A808" t="s">
        <v>5</v>
      </c>
      <c r="B808">
        <v>13</v>
      </c>
      <c r="C808">
        <v>1.1111070712407399E-3</v>
      </c>
      <c r="D808">
        <v>6960</v>
      </c>
      <c r="E808">
        <v>128.00770926475499</v>
      </c>
    </row>
    <row r="809" spans="1:5" x14ac:dyDescent="0.25">
      <c r="A809" t="s">
        <v>6</v>
      </c>
      <c r="B809">
        <v>13</v>
      </c>
      <c r="C809">
        <v>9.5832804838816299E-4</v>
      </c>
      <c r="D809">
        <v>7002</v>
      </c>
      <c r="E809">
        <v>83.856426715850802</v>
      </c>
    </row>
    <row r="810" spans="1:5" x14ac:dyDescent="0.25">
      <c r="A810" t="s">
        <v>5</v>
      </c>
      <c r="B810">
        <v>14</v>
      </c>
      <c r="C810">
        <v>2.6851753393808999E-4</v>
      </c>
      <c r="D810">
        <v>6960</v>
      </c>
      <c r="E810">
        <v>211.96406888961701</v>
      </c>
    </row>
    <row r="811" spans="1:5" x14ac:dyDescent="0.25">
      <c r="A811" t="s">
        <v>6</v>
      </c>
      <c r="B811">
        <v>14</v>
      </c>
      <c r="C811">
        <v>3.0555446942647299E-4</v>
      </c>
      <c r="D811">
        <v>7002</v>
      </c>
      <c r="E811">
        <v>98.266540050506507</v>
      </c>
    </row>
    <row r="812" spans="1:5" x14ac:dyDescent="0.25">
      <c r="A812" t="s">
        <v>5</v>
      </c>
      <c r="B812">
        <v>15</v>
      </c>
      <c r="C812">
        <v>2.0370304584503099E-4</v>
      </c>
      <c r="D812">
        <v>6960</v>
      </c>
      <c r="E812">
        <v>169.68424129485999</v>
      </c>
    </row>
    <row r="813" spans="1:5" x14ac:dyDescent="0.25">
      <c r="A813" t="s">
        <v>6</v>
      </c>
      <c r="B813">
        <v>15</v>
      </c>
      <c r="C813" s="1">
        <v>9.2592040697733497E-5</v>
      </c>
      <c r="D813">
        <v>7002</v>
      </c>
      <c r="E813">
        <v>98.2606747150421</v>
      </c>
    </row>
    <row r="814" spans="1:5" x14ac:dyDescent="0.25">
      <c r="A814" t="s">
        <v>5</v>
      </c>
      <c r="B814">
        <v>16</v>
      </c>
      <c r="C814" s="1">
        <v>5.5555502573648997E-5</v>
      </c>
      <c r="D814">
        <v>6960</v>
      </c>
      <c r="E814">
        <v>167.21596646308899</v>
      </c>
    </row>
    <row r="815" spans="1:5" x14ac:dyDescent="0.25">
      <c r="A815" t="s">
        <v>6</v>
      </c>
      <c r="B815">
        <v>16</v>
      </c>
      <c r="C815">
        <v>0</v>
      </c>
      <c r="D815">
        <v>7002</v>
      </c>
      <c r="E815">
        <v>98.606762170791598</v>
      </c>
    </row>
    <row r="816" spans="1:5" x14ac:dyDescent="0.25">
      <c r="A816" t="s">
        <v>5</v>
      </c>
      <c r="B816">
        <v>17</v>
      </c>
      <c r="C816">
        <v>0</v>
      </c>
      <c r="D816">
        <v>6960</v>
      </c>
      <c r="E816">
        <v>167.35148572921699</v>
      </c>
    </row>
    <row r="817" spans="1:5" x14ac:dyDescent="0.25">
      <c r="A817" t="s">
        <v>6</v>
      </c>
      <c r="B817">
        <v>17</v>
      </c>
      <c r="C817" s="1">
        <v>3.7036736806233697E-5</v>
      </c>
      <c r="D817">
        <v>7002</v>
      </c>
      <c r="E817">
        <v>98.474734544754</v>
      </c>
    </row>
    <row r="818" spans="1:5" x14ac:dyDescent="0.25">
      <c r="A818" t="s">
        <v>5</v>
      </c>
      <c r="B818">
        <v>0</v>
      </c>
      <c r="C818">
        <v>0.18744440138339899</v>
      </c>
      <c r="D818">
        <v>6960</v>
      </c>
      <c r="E818">
        <v>112.717728376388</v>
      </c>
    </row>
    <row r="819" spans="1:5" x14ac:dyDescent="0.25">
      <c r="A819" t="s">
        <v>6</v>
      </c>
      <c r="B819">
        <v>0</v>
      </c>
      <c r="C819">
        <v>0.18041662434736799</v>
      </c>
      <c r="D819">
        <v>7002</v>
      </c>
      <c r="E819">
        <v>63.603986024856503</v>
      </c>
    </row>
    <row r="820" spans="1:5" x14ac:dyDescent="0.25">
      <c r="A820" t="s">
        <v>5</v>
      </c>
      <c r="B820">
        <v>1</v>
      </c>
      <c r="C820">
        <v>0.16202773630619</v>
      </c>
      <c r="D820">
        <v>6960</v>
      </c>
      <c r="E820">
        <v>112.180855751037</v>
      </c>
    </row>
    <row r="821" spans="1:5" x14ac:dyDescent="0.25">
      <c r="A821" t="s">
        <v>6</v>
      </c>
      <c r="B821">
        <v>1</v>
      </c>
      <c r="C821">
        <v>0.15669440249601899</v>
      </c>
      <c r="D821">
        <v>7002</v>
      </c>
      <c r="E821">
        <v>63.854027509689303</v>
      </c>
    </row>
    <row r="822" spans="1:5" x14ac:dyDescent="0.25">
      <c r="A822" t="s">
        <v>5</v>
      </c>
      <c r="B822">
        <v>2</v>
      </c>
      <c r="C822">
        <v>0.14111106832822101</v>
      </c>
      <c r="D822">
        <v>6960</v>
      </c>
      <c r="E822">
        <v>112.397438287734</v>
      </c>
    </row>
    <row r="823" spans="1:5" x14ac:dyDescent="0.25">
      <c r="A823" t="s">
        <v>6</v>
      </c>
      <c r="B823">
        <v>2</v>
      </c>
      <c r="C823">
        <v>0.13358329196770899</v>
      </c>
      <c r="D823">
        <v>7002</v>
      </c>
      <c r="E823">
        <v>63.872806310653601</v>
      </c>
    </row>
    <row r="824" spans="1:5" x14ac:dyDescent="0.25">
      <c r="A824" t="s">
        <v>5</v>
      </c>
      <c r="B824">
        <v>3</v>
      </c>
      <c r="C824">
        <v>0.11777773797512001</v>
      </c>
      <c r="D824">
        <v>6960</v>
      </c>
      <c r="E824">
        <v>112.616923570632</v>
      </c>
    </row>
    <row r="825" spans="1:5" x14ac:dyDescent="0.25">
      <c r="A825" t="s">
        <v>6</v>
      </c>
      <c r="B825">
        <v>3</v>
      </c>
      <c r="C825">
        <v>0.110555512507756</v>
      </c>
      <c r="D825">
        <v>7002</v>
      </c>
      <c r="E825">
        <v>63.5385065078735</v>
      </c>
    </row>
    <row r="826" spans="1:5" x14ac:dyDescent="0.25">
      <c r="A826" t="s">
        <v>5</v>
      </c>
      <c r="B826">
        <v>4</v>
      </c>
      <c r="C826">
        <v>0.103166624704996</v>
      </c>
      <c r="D826">
        <v>6960</v>
      </c>
      <c r="E826">
        <v>112.299007892608</v>
      </c>
    </row>
    <row r="827" spans="1:5" x14ac:dyDescent="0.25">
      <c r="A827" t="s">
        <v>6</v>
      </c>
      <c r="B827">
        <v>4</v>
      </c>
      <c r="C827">
        <v>8.7138845920562702E-2</v>
      </c>
      <c r="D827">
        <v>7002</v>
      </c>
      <c r="E827">
        <v>63.7604014873504</v>
      </c>
    </row>
    <row r="828" spans="1:5" x14ac:dyDescent="0.25">
      <c r="A828" t="s">
        <v>5</v>
      </c>
      <c r="B828">
        <v>5</v>
      </c>
      <c r="C828">
        <v>7.8888845841089794E-2</v>
      </c>
      <c r="D828">
        <v>6960</v>
      </c>
      <c r="E828">
        <v>112.234950780868</v>
      </c>
    </row>
    <row r="829" spans="1:5" x14ac:dyDescent="0.25">
      <c r="A829" t="s">
        <v>6</v>
      </c>
      <c r="B829">
        <v>5</v>
      </c>
      <c r="C829">
        <v>6.6138845880826302E-2</v>
      </c>
      <c r="D829">
        <v>7002</v>
      </c>
      <c r="E829">
        <v>63.7823388576507</v>
      </c>
    </row>
    <row r="830" spans="1:5" x14ac:dyDescent="0.25">
      <c r="A830" t="s">
        <v>5</v>
      </c>
      <c r="B830">
        <v>6</v>
      </c>
      <c r="C830">
        <v>6.1166623036066597E-2</v>
      </c>
      <c r="D830">
        <v>6960</v>
      </c>
      <c r="E830">
        <v>112.909430742263</v>
      </c>
    </row>
    <row r="831" spans="1:5" x14ac:dyDescent="0.25">
      <c r="A831" t="s">
        <v>6</v>
      </c>
      <c r="B831">
        <v>6</v>
      </c>
      <c r="C831">
        <v>4.8638849059740703E-2</v>
      </c>
      <c r="D831">
        <v>7002</v>
      </c>
      <c r="E831">
        <v>63.822954416275003</v>
      </c>
    </row>
    <row r="832" spans="1:5" x14ac:dyDescent="0.25">
      <c r="A832" t="s">
        <v>5</v>
      </c>
      <c r="B832">
        <v>8</v>
      </c>
      <c r="C832">
        <v>3.3611075282096801E-2</v>
      </c>
      <c r="D832">
        <v>6960</v>
      </c>
      <c r="E832">
        <v>112.68269944190899</v>
      </c>
    </row>
    <row r="833" spans="1:5" x14ac:dyDescent="0.25">
      <c r="A833" t="s">
        <v>6</v>
      </c>
      <c r="B833">
        <v>8</v>
      </c>
      <c r="C833">
        <v>2.4833300908406498E-2</v>
      </c>
      <c r="D833">
        <v>7002</v>
      </c>
      <c r="E833">
        <v>64.538498878479004</v>
      </c>
    </row>
    <row r="834" spans="1:5" x14ac:dyDescent="0.25">
      <c r="A834" t="s">
        <v>5</v>
      </c>
      <c r="B834">
        <v>9</v>
      </c>
      <c r="C834">
        <v>2.4249971310297599E-2</v>
      </c>
      <c r="D834">
        <v>6960</v>
      </c>
      <c r="E834">
        <v>112.527392148971</v>
      </c>
    </row>
    <row r="835" spans="1:5" x14ac:dyDescent="0.25">
      <c r="A835" t="s">
        <v>6</v>
      </c>
      <c r="B835">
        <v>9</v>
      </c>
      <c r="C835">
        <v>1.4777754942576E-2</v>
      </c>
      <c r="D835">
        <v>7002</v>
      </c>
      <c r="E835">
        <v>63.657247304916297</v>
      </c>
    </row>
    <row r="836" spans="1:5" x14ac:dyDescent="0.25">
      <c r="A836" t="s">
        <v>5</v>
      </c>
      <c r="B836">
        <v>10</v>
      </c>
      <c r="C836">
        <v>1.27222069104512E-2</v>
      </c>
      <c r="D836">
        <v>6960</v>
      </c>
      <c r="E836">
        <v>112.230310678482</v>
      </c>
    </row>
    <row r="837" spans="1:5" x14ac:dyDescent="0.25">
      <c r="A837" t="s">
        <v>6</v>
      </c>
      <c r="B837">
        <v>10</v>
      </c>
      <c r="C837">
        <v>1.0027760664621899E-2</v>
      </c>
      <c r="D837">
        <v>7002</v>
      </c>
      <c r="E837">
        <v>63.757213354110696</v>
      </c>
    </row>
    <row r="838" spans="1:5" x14ac:dyDescent="0.25">
      <c r="A838" t="s">
        <v>5</v>
      </c>
      <c r="B838">
        <v>11</v>
      </c>
      <c r="C838">
        <v>6.0833257436752296E-3</v>
      </c>
      <c r="D838">
        <v>6960</v>
      </c>
      <c r="E838">
        <v>112.301760911941</v>
      </c>
    </row>
    <row r="839" spans="1:5" x14ac:dyDescent="0.25">
      <c r="A839" t="s">
        <v>6</v>
      </c>
      <c r="B839">
        <v>11</v>
      </c>
      <c r="C839">
        <v>6.1944327751795401E-3</v>
      </c>
      <c r="D839">
        <v>7002</v>
      </c>
      <c r="E839">
        <v>63.721888065338099</v>
      </c>
    </row>
    <row r="840" spans="1:5" x14ac:dyDescent="0.25">
      <c r="A840" t="s">
        <v>5</v>
      </c>
      <c r="B840">
        <v>12</v>
      </c>
      <c r="C840">
        <v>2.6249903440475398E-3</v>
      </c>
      <c r="D840">
        <v>6960</v>
      </c>
      <c r="E840">
        <v>128.224602222442</v>
      </c>
    </row>
    <row r="841" spans="1:5" x14ac:dyDescent="0.25">
      <c r="A841" t="s">
        <v>6</v>
      </c>
      <c r="B841">
        <v>12</v>
      </c>
      <c r="C841">
        <v>2.0416559775670298E-3</v>
      </c>
      <c r="D841">
        <v>7002</v>
      </c>
      <c r="E841">
        <v>82.164724349975501</v>
      </c>
    </row>
    <row r="842" spans="1:5" x14ac:dyDescent="0.25">
      <c r="A842" t="s">
        <v>5</v>
      </c>
      <c r="B842">
        <v>13</v>
      </c>
      <c r="C842">
        <v>9.9999606609344491E-4</v>
      </c>
      <c r="D842">
        <v>6960</v>
      </c>
      <c r="E842">
        <v>127.617007255554</v>
      </c>
    </row>
    <row r="843" spans="1:5" x14ac:dyDescent="0.25">
      <c r="A843" t="s">
        <v>6</v>
      </c>
      <c r="B843">
        <v>13</v>
      </c>
      <c r="C843">
        <v>1.5694365898768099E-3</v>
      </c>
      <c r="D843">
        <v>7002</v>
      </c>
      <c r="E843">
        <v>82.338723659515296</v>
      </c>
    </row>
    <row r="844" spans="1:5" x14ac:dyDescent="0.25">
      <c r="A844" t="s">
        <v>5</v>
      </c>
      <c r="B844">
        <v>14</v>
      </c>
      <c r="C844">
        <v>4.4444362322489399E-4</v>
      </c>
      <c r="D844">
        <v>6960</v>
      </c>
      <c r="E844">
        <v>180.26119971275301</v>
      </c>
    </row>
    <row r="845" spans="1:5" x14ac:dyDescent="0.25">
      <c r="A845" t="s">
        <v>6</v>
      </c>
      <c r="B845">
        <v>14</v>
      </c>
      <c r="C845">
        <v>5.2777588367462097E-4</v>
      </c>
      <c r="D845">
        <v>7002</v>
      </c>
      <c r="E845">
        <v>98.167876005172701</v>
      </c>
    </row>
    <row r="846" spans="1:5" x14ac:dyDescent="0.25">
      <c r="A846" t="s">
        <v>5</v>
      </c>
      <c r="B846">
        <v>15</v>
      </c>
      <c r="C846" s="1">
        <v>4.6296119689941401E-5</v>
      </c>
      <c r="D846">
        <v>6960</v>
      </c>
      <c r="E846">
        <v>168.54858517646699</v>
      </c>
    </row>
    <row r="847" spans="1:5" x14ac:dyDescent="0.25">
      <c r="A847" t="s">
        <v>6</v>
      </c>
      <c r="B847">
        <v>15</v>
      </c>
      <c r="C847" s="1">
        <v>9.2592040697733497E-5</v>
      </c>
      <c r="D847">
        <v>7002</v>
      </c>
      <c r="E847">
        <v>98.291887044906602</v>
      </c>
    </row>
    <row r="848" spans="1:5" x14ac:dyDescent="0.25">
      <c r="A848" t="s">
        <v>5</v>
      </c>
      <c r="B848">
        <v>16</v>
      </c>
      <c r="C848" s="1">
        <v>7.4073870976765896E-5</v>
      </c>
      <c r="D848">
        <v>6960</v>
      </c>
      <c r="E848">
        <v>166.23886227607699</v>
      </c>
    </row>
    <row r="849" spans="1:5" x14ac:dyDescent="0.25">
      <c r="A849" t="s">
        <v>6</v>
      </c>
      <c r="B849">
        <v>16</v>
      </c>
      <c r="C849" s="1">
        <v>4.6296119689941401E-5</v>
      </c>
      <c r="D849">
        <v>7002</v>
      </c>
      <c r="E849">
        <v>98.497168540954505</v>
      </c>
    </row>
    <row r="850" spans="1:5" x14ac:dyDescent="0.25">
      <c r="A850" t="s">
        <v>5</v>
      </c>
      <c r="B850">
        <v>17</v>
      </c>
      <c r="C850">
        <v>1.29629174868265E-4</v>
      </c>
      <c r="D850">
        <v>6960</v>
      </c>
      <c r="E850">
        <v>166.42591285705501</v>
      </c>
    </row>
    <row r="851" spans="1:5" x14ac:dyDescent="0.25">
      <c r="A851" t="s">
        <v>6</v>
      </c>
      <c r="B851">
        <v>17</v>
      </c>
      <c r="C851" s="1">
        <v>2.7777751286824498E-5</v>
      </c>
      <c r="D851">
        <v>7002</v>
      </c>
      <c r="E851">
        <v>97.915737628936697</v>
      </c>
    </row>
    <row r="852" spans="1:5" x14ac:dyDescent="0.25">
      <c r="A852" t="s">
        <v>5</v>
      </c>
      <c r="B852">
        <v>0</v>
      </c>
      <c r="C852">
        <v>0.18352773567040701</v>
      </c>
      <c r="D852">
        <v>6960</v>
      </c>
      <c r="E852">
        <v>112.51209831237701</v>
      </c>
    </row>
    <row r="853" spans="1:5" x14ac:dyDescent="0.25">
      <c r="A853" t="s">
        <v>6</v>
      </c>
      <c r="B853">
        <v>0</v>
      </c>
      <c r="C853">
        <v>0.18177773614724399</v>
      </c>
      <c r="D853">
        <v>7002</v>
      </c>
      <c r="E853">
        <v>63.856269121170001</v>
      </c>
    </row>
    <row r="854" spans="1:5" x14ac:dyDescent="0.25">
      <c r="A854" t="s">
        <v>5</v>
      </c>
      <c r="B854">
        <v>1</v>
      </c>
      <c r="C854">
        <v>0.163916625181833</v>
      </c>
      <c r="D854">
        <v>6960</v>
      </c>
      <c r="E854">
        <v>111.852771997451</v>
      </c>
    </row>
    <row r="855" spans="1:5" x14ac:dyDescent="0.25">
      <c r="A855" t="s">
        <v>6</v>
      </c>
      <c r="B855">
        <v>1</v>
      </c>
      <c r="C855">
        <v>0.158388847907384</v>
      </c>
      <c r="D855">
        <v>7002</v>
      </c>
      <c r="E855">
        <v>64.062829494476304</v>
      </c>
    </row>
    <row r="856" spans="1:5" x14ac:dyDescent="0.25">
      <c r="A856" t="s">
        <v>5</v>
      </c>
      <c r="B856">
        <v>2</v>
      </c>
      <c r="C856">
        <v>0.140861070156097</v>
      </c>
      <c r="D856">
        <v>6960</v>
      </c>
      <c r="E856">
        <v>112.654680252075</v>
      </c>
    </row>
    <row r="857" spans="1:5" x14ac:dyDescent="0.25">
      <c r="A857" t="s">
        <v>6</v>
      </c>
      <c r="B857">
        <v>2</v>
      </c>
      <c r="C857">
        <v>0.132805515329043</v>
      </c>
      <c r="D857">
        <v>7002</v>
      </c>
      <c r="E857">
        <v>63.736776113510103</v>
      </c>
    </row>
    <row r="858" spans="1:5" x14ac:dyDescent="0.25">
      <c r="A858" t="s">
        <v>5</v>
      </c>
      <c r="B858">
        <v>3</v>
      </c>
      <c r="C858">
        <v>0.119611072142918</v>
      </c>
      <c r="D858">
        <v>6960</v>
      </c>
      <c r="E858">
        <v>112.302507400512</v>
      </c>
    </row>
    <row r="859" spans="1:5" x14ac:dyDescent="0.25">
      <c r="A859" t="s">
        <v>6</v>
      </c>
      <c r="B859">
        <v>3</v>
      </c>
      <c r="C859">
        <v>0.110305513739585</v>
      </c>
      <c r="D859">
        <v>7002</v>
      </c>
      <c r="E859">
        <v>63.888451337814303</v>
      </c>
    </row>
    <row r="860" spans="1:5" x14ac:dyDescent="0.25">
      <c r="A860" t="s">
        <v>5</v>
      </c>
      <c r="B860">
        <v>4</v>
      </c>
      <c r="C860">
        <v>9.7999957601229301E-2</v>
      </c>
      <c r="D860">
        <v>6960</v>
      </c>
      <c r="E860">
        <v>112.29259252548199</v>
      </c>
    </row>
    <row r="861" spans="1:5" x14ac:dyDescent="0.25">
      <c r="A861" t="s">
        <v>6</v>
      </c>
      <c r="B861">
        <v>4</v>
      </c>
      <c r="C861">
        <v>9.0083289742469694E-2</v>
      </c>
      <c r="D861">
        <v>7002</v>
      </c>
      <c r="E861">
        <v>63.6040198802948</v>
      </c>
    </row>
    <row r="862" spans="1:5" x14ac:dyDescent="0.25">
      <c r="A862" t="s">
        <v>5</v>
      </c>
      <c r="B862">
        <v>5</v>
      </c>
      <c r="C862">
        <v>8.0916625062624606E-2</v>
      </c>
      <c r="D862">
        <v>6960</v>
      </c>
      <c r="E862">
        <v>112.00146627426101</v>
      </c>
    </row>
    <row r="863" spans="1:5" x14ac:dyDescent="0.25">
      <c r="A863" t="s">
        <v>6</v>
      </c>
      <c r="B863">
        <v>5</v>
      </c>
      <c r="C863">
        <v>6.5916622877120898E-2</v>
      </c>
      <c r="D863">
        <v>7002</v>
      </c>
      <c r="E863">
        <v>63.786965131759601</v>
      </c>
    </row>
    <row r="864" spans="1:5" x14ac:dyDescent="0.25">
      <c r="A864" t="s">
        <v>5</v>
      </c>
      <c r="B864">
        <v>6</v>
      </c>
      <c r="C864">
        <v>6.2611068089803004E-2</v>
      </c>
      <c r="D864">
        <v>6960</v>
      </c>
      <c r="E864">
        <v>112.429012298583</v>
      </c>
    </row>
    <row r="865" spans="1:5" x14ac:dyDescent="0.25">
      <c r="A865" t="s">
        <v>6</v>
      </c>
      <c r="B865">
        <v>6</v>
      </c>
      <c r="C865">
        <v>4.82221804062525E-2</v>
      </c>
      <c r="D865">
        <v>7002</v>
      </c>
      <c r="E865">
        <v>63.722564220428403</v>
      </c>
    </row>
    <row r="866" spans="1:5" x14ac:dyDescent="0.25">
      <c r="A866" t="s">
        <v>5</v>
      </c>
      <c r="B866">
        <v>8</v>
      </c>
      <c r="C866">
        <v>3.3499963482220903E-2</v>
      </c>
      <c r="D866">
        <v>6960</v>
      </c>
      <c r="E866">
        <v>113.128941297531</v>
      </c>
    </row>
    <row r="867" spans="1:5" x14ac:dyDescent="0.25">
      <c r="A867" t="s">
        <v>6</v>
      </c>
      <c r="B867">
        <v>8</v>
      </c>
      <c r="C867">
        <v>2.1749969720840399E-2</v>
      </c>
      <c r="D867">
        <v>7002</v>
      </c>
      <c r="E867">
        <v>63.836408376693697</v>
      </c>
    </row>
    <row r="868" spans="1:5" x14ac:dyDescent="0.25">
      <c r="A868" t="s">
        <v>5</v>
      </c>
      <c r="B868">
        <v>9</v>
      </c>
      <c r="C868">
        <v>2.3666641910870801E-2</v>
      </c>
      <c r="D868">
        <v>6960</v>
      </c>
      <c r="E868">
        <v>111.979236841201</v>
      </c>
    </row>
    <row r="869" spans="1:5" x14ac:dyDescent="0.25">
      <c r="A869" t="s">
        <v>6</v>
      </c>
      <c r="B869">
        <v>9</v>
      </c>
      <c r="C869">
        <v>1.48055324951807E-2</v>
      </c>
      <c r="D869">
        <v>7002</v>
      </c>
      <c r="E869">
        <v>64.506233215332003</v>
      </c>
    </row>
    <row r="870" spans="1:5" x14ac:dyDescent="0.25">
      <c r="A870" t="s">
        <v>5</v>
      </c>
      <c r="B870">
        <v>10</v>
      </c>
      <c r="C870">
        <v>1.2083317240079199E-2</v>
      </c>
      <c r="D870">
        <v>6960</v>
      </c>
      <c r="E870">
        <v>112.4178109169</v>
      </c>
    </row>
    <row r="871" spans="1:5" x14ac:dyDescent="0.25">
      <c r="A871" t="s">
        <v>6</v>
      </c>
      <c r="B871">
        <v>10</v>
      </c>
      <c r="C871">
        <v>1.03055367867151E-2</v>
      </c>
      <c r="D871">
        <v>7002</v>
      </c>
      <c r="E871">
        <v>63.753984689712503</v>
      </c>
    </row>
    <row r="872" spans="1:5" x14ac:dyDescent="0.25">
      <c r="A872" t="s">
        <v>5</v>
      </c>
      <c r="B872">
        <v>11</v>
      </c>
      <c r="C872">
        <v>7.1666566530863398E-3</v>
      </c>
      <c r="D872">
        <v>6960</v>
      </c>
      <c r="E872">
        <v>113.152088403701</v>
      </c>
    </row>
    <row r="873" spans="1:5" x14ac:dyDescent="0.25">
      <c r="A873" t="s">
        <v>6</v>
      </c>
      <c r="B873">
        <v>11</v>
      </c>
      <c r="C873">
        <v>4.1944356759389201E-3</v>
      </c>
      <c r="D873">
        <v>7002</v>
      </c>
      <c r="E873">
        <v>63.919615030288597</v>
      </c>
    </row>
    <row r="874" spans="1:5" x14ac:dyDescent="0.25">
      <c r="A874" t="s">
        <v>5</v>
      </c>
      <c r="B874">
        <v>12</v>
      </c>
      <c r="C874">
        <v>2.347212433815E-3</v>
      </c>
      <c r="D874">
        <v>6960</v>
      </c>
      <c r="E874">
        <v>127.927356481552</v>
      </c>
    </row>
    <row r="875" spans="1:5" x14ac:dyDescent="0.25">
      <c r="A875" t="s">
        <v>6</v>
      </c>
      <c r="B875">
        <v>12</v>
      </c>
      <c r="C875">
        <v>1.58332486947377E-3</v>
      </c>
      <c r="D875">
        <v>7002</v>
      </c>
      <c r="E875">
        <v>82.169840097427297</v>
      </c>
    </row>
    <row r="876" spans="1:5" x14ac:dyDescent="0.25">
      <c r="A876" t="s">
        <v>5</v>
      </c>
      <c r="B876">
        <v>13</v>
      </c>
      <c r="C876">
        <v>8.4721903006235698E-4</v>
      </c>
      <c r="D876">
        <v>6960</v>
      </c>
      <c r="E876">
        <v>128.671769380569</v>
      </c>
    </row>
    <row r="877" spans="1:5" x14ac:dyDescent="0.25">
      <c r="A877" t="s">
        <v>6</v>
      </c>
      <c r="B877">
        <v>13</v>
      </c>
      <c r="C877">
        <v>1.0138843456904E-3</v>
      </c>
      <c r="D877">
        <v>7002</v>
      </c>
      <c r="E877">
        <v>81.805422782897907</v>
      </c>
    </row>
    <row r="878" spans="1:5" x14ac:dyDescent="0.25">
      <c r="A878" t="s">
        <v>5</v>
      </c>
      <c r="B878">
        <v>14</v>
      </c>
      <c r="C878">
        <v>4.6296179294586101E-4</v>
      </c>
      <c r="D878">
        <v>6960</v>
      </c>
      <c r="E878">
        <v>182.152650117874</v>
      </c>
    </row>
    <row r="879" spans="1:5" x14ac:dyDescent="0.25">
      <c r="A879" t="s">
        <v>6</v>
      </c>
      <c r="B879">
        <v>14</v>
      </c>
      <c r="C879">
        <v>3.9814611275990801E-4</v>
      </c>
      <c r="D879">
        <v>7002</v>
      </c>
      <c r="E879">
        <v>98.743308544158893</v>
      </c>
    </row>
    <row r="880" spans="1:5" x14ac:dyDescent="0.25">
      <c r="A880" t="s">
        <v>5</v>
      </c>
      <c r="B880">
        <v>15</v>
      </c>
      <c r="C880">
        <v>1.20370189348856E-4</v>
      </c>
      <c r="D880">
        <v>6960</v>
      </c>
      <c r="E880">
        <v>166.75874066352799</v>
      </c>
    </row>
    <row r="881" spans="1:5" x14ac:dyDescent="0.25">
      <c r="A881" t="s">
        <v>6</v>
      </c>
      <c r="B881">
        <v>15</v>
      </c>
      <c r="C881" s="1">
        <v>8.3333055178324295E-5</v>
      </c>
      <c r="D881">
        <v>7002</v>
      </c>
      <c r="E881">
        <v>98.247864246368394</v>
      </c>
    </row>
    <row r="882" spans="1:5" x14ac:dyDescent="0.25">
      <c r="A882" t="s">
        <v>5</v>
      </c>
      <c r="B882">
        <v>16</v>
      </c>
      <c r="C882">
        <v>1.1111100514729799E-4</v>
      </c>
      <c r="D882">
        <v>6960</v>
      </c>
      <c r="E882">
        <v>165.79245305061301</v>
      </c>
    </row>
    <row r="883" spans="1:5" x14ac:dyDescent="0.25">
      <c r="A883" t="s">
        <v>6</v>
      </c>
      <c r="B883">
        <v>16</v>
      </c>
      <c r="C883" s="1">
        <v>3.7036736806233697E-5</v>
      </c>
      <c r="D883">
        <v>7002</v>
      </c>
      <c r="E883">
        <v>98.328371047973604</v>
      </c>
    </row>
    <row r="884" spans="1:5" x14ac:dyDescent="0.25">
      <c r="A884" t="s">
        <v>5</v>
      </c>
      <c r="B884">
        <v>17</v>
      </c>
      <c r="C884" s="1">
        <v>1.8518368403116801E-5</v>
      </c>
      <c r="D884">
        <v>6960</v>
      </c>
      <c r="E884">
        <v>165.70037245750399</v>
      </c>
    </row>
    <row r="885" spans="1:5" x14ac:dyDescent="0.25">
      <c r="A885" t="s">
        <v>6</v>
      </c>
      <c r="B885">
        <v>17</v>
      </c>
      <c r="C885" s="1">
        <v>4.6296119689941401E-5</v>
      </c>
      <c r="D885">
        <v>7002</v>
      </c>
      <c r="E885">
        <v>97.565638065338106</v>
      </c>
    </row>
    <row r="886" spans="1:5" x14ac:dyDescent="0.25">
      <c r="A886" t="s">
        <v>5</v>
      </c>
      <c r="B886">
        <v>0</v>
      </c>
      <c r="C886">
        <v>0.18702773551146101</v>
      </c>
      <c r="D886">
        <v>6960</v>
      </c>
      <c r="E886">
        <v>111.66338491439799</v>
      </c>
    </row>
    <row r="887" spans="1:5" x14ac:dyDescent="0.25">
      <c r="A887" t="s">
        <v>6</v>
      </c>
      <c r="B887">
        <v>0</v>
      </c>
      <c r="C887">
        <v>0.18041662434736799</v>
      </c>
      <c r="D887">
        <v>7002</v>
      </c>
      <c r="E887">
        <v>63.477564096450799</v>
      </c>
    </row>
    <row r="888" spans="1:5" x14ac:dyDescent="0.25">
      <c r="A888" t="s">
        <v>5</v>
      </c>
      <c r="B888">
        <v>1</v>
      </c>
      <c r="C888">
        <v>0.163833292325337</v>
      </c>
      <c r="D888">
        <v>6960</v>
      </c>
      <c r="E888">
        <v>111.812071561813</v>
      </c>
    </row>
    <row r="889" spans="1:5" x14ac:dyDescent="0.25">
      <c r="A889" t="s">
        <v>6</v>
      </c>
      <c r="B889">
        <v>1</v>
      </c>
      <c r="C889">
        <v>0.15797217965126001</v>
      </c>
      <c r="D889">
        <v>7002</v>
      </c>
      <c r="E889">
        <v>63.658317804336498</v>
      </c>
    </row>
    <row r="890" spans="1:5" x14ac:dyDescent="0.25">
      <c r="A890" t="s">
        <v>5</v>
      </c>
      <c r="B890">
        <v>2</v>
      </c>
      <c r="C890">
        <v>0.13988884786764699</v>
      </c>
      <c r="D890">
        <v>6960</v>
      </c>
      <c r="E890">
        <v>111.766213178634</v>
      </c>
    </row>
    <row r="891" spans="1:5" x14ac:dyDescent="0.25">
      <c r="A891" t="s">
        <v>6</v>
      </c>
      <c r="B891">
        <v>2</v>
      </c>
      <c r="C891">
        <v>0.13397218048572501</v>
      </c>
      <c r="D891">
        <v>7002</v>
      </c>
      <c r="E891">
        <v>63.321735143661499</v>
      </c>
    </row>
    <row r="892" spans="1:5" x14ac:dyDescent="0.25">
      <c r="A892" t="s">
        <v>5</v>
      </c>
      <c r="B892">
        <v>3</v>
      </c>
      <c r="C892">
        <v>0.12072218298912001</v>
      </c>
      <c r="D892">
        <v>6960</v>
      </c>
      <c r="E892">
        <v>111.54122447967499</v>
      </c>
    </row>
    <row r="893" spans="1:5" x14ac:dyDescent="0.25">
      <c r="A893" t="s">
        <v>6</v>
      </c>
      <c r="B893">
        <v>3</v>
      </c>
      <c r="C893">
        <v>0.10958329319953899</v>
      </c>
      <c r="D893">
        <v>7002</v>
      </c>
      <c r="E893">
        <v>63.656055688857997</v>
      </c>
    </row>
    <row r="894" spans="1:5" x14ac:dyDescent="0.25">
      <c r="A894" t="s">
        <v>5</v>
      </c>
      <c r="B894">
        <v>4</v>
      </c>
      <c r="C894">
        <v>0.102555514971415</v>
      </c>
      <c r="D894">
        <v>6960</v>
      </c>
      <c r="E894">
        <v>112.59156656265201</v>
      </c>
    </row>
    <row r="895" spans="1:5" x14ac:dyDescent="0.25">
      <c r="A895" t="s">
        <v>6</v>
      </c>
      <c r="B895">
        <v>4</v>
      </c>
      <c r="C895">
        <v>8.9083289106686905E-2</v>
      </c>
      <c r="D895">
        <v>7002</v>
      </c>
      <c r="E895">
        <v>63.719718933105398</v>
      </c>
    </row>
    <row r="896" spans="1:5" x14ac:dyDescent="0.25">
      <c r="A896" t="s">
        <v>5</v>
      </c>
      <c r="B896">
        <v>5</v>
      </c>
      <c r="C896">
        <v>7.8972179293632497E-2</v>
      </c>
      <c r="D896">
        <v>6960</v>
      </c>
      <c r="E896">
        <v>112.300444364547</v>
      </c>
    </row>
    <row r="897" spans="1:5" x14ac:dyDescent="0.25">
      <c r="A897" t="s">
        <v>6</v>
      </c>
      <c r="B897">
        <v>5</v>
      </c>
      <c r="C897">
        <v>6.5944401423136303E-2</v>
      </c>
      <c r="D897">
        <v>7002</v>
      </c>
      <c r="E897">
        <v>63.789575099944997</v>
      </c>
    </row>
    <row r="898" spans="1:5" x14ac:dyDescent="0.25">
      <c r="A898" t="s">
        <v>5</v>
      </c>
      <c r="B898">
        <v>6</v>
      </c>
      <c r="C898">
        <v>5.9888844887415499E-2</v>
      </c>
      <c r="D898">
        <v>6960</v>
      </c>
      <c r="E898">
        <v>112.252036094665</v>
      </c>
    </row>
    <row r="899" spans="1:5" x14ac:dyDescent="0.25">
      <c r="A899" t="s">
        <v>6</v>
      </c>
      <c r="B899">
        <v>6</v>
      </c>
      <c r="C899">
        <v>4.8749959468841503E-2</v>
      </c>
      <c r="D899">
        <v>7002</v>
      </c>
      <c r="E899">
        <v>63.773867130279498</v>
      </c>
    </row>
    <row r="900" spans="1:5" x14ac:dyDescent="0.25">
      <c r="A900" t="s">
        <v>5</v>
      </c>
      <c r="B900">
        <v>8</v>
      </c>
      <c r="C900">
        <v>3.6305519342422397E-2</v>
      </c>
      <c r="D900">
        <v>6960</v>
      </c>
      <c r="E900">
        <v>112.430838823318</v>
      </c>
    </row>
    <row r="901" spans="1:5" x14ac:dyDescent="0.25">
      <c r="A901" t="s">
        <v>6</v>
      </c>
      <c r="B901">
        <v>8</v>
      </c>
      <c r="C901">
        <v>2.5166634321212699E-2</v>
      </c>
      <c r="D901">
        <v>7002</v>
      </c>
      <c r="E901">
        <v>63.821768283843902</v>
      </c>
    </row>
    <row r="902" spans="1:5" x14ac:dyDescent="0.25">
      <c r="A902" t="s">
        <v>5</v>
      </c>
      <c r="B902">
        <v>9</v>
      </c>
      <c r="C902">
        <v>2.38610843817392E-2</v>
      </c>
      <c r="D902">
        <v>6960</v>
      </c>
      <c r="E902">
        <v>111.993166446685</v>
      </c>
    </row>
    <row r="903" spans="1:5" x14ac:dyDescent="0.25">
      <c r="A903" t="s">
        <v>6</v>
      </c>
      <c r="B903">
        <v>9</v>
      </c>
      <c r="C903">
        <v>1.6916640400886501E-2</v>
      </c>
      <c r="D903">
        <v>7002</v>
      </c>
      <c r="E903">
        <v>64.124013900756793</v>
      </c>
    </row>
    <row r="904" spans="1:5" x14ac:dyDescent="0.25">
      <c r="A904" t="s">
        <v>5</v>
      </c>
      <c r="B904">
        <v>10</v>
      </c>
      <c r="C904">
        <v>1.16944281260172E-2</v>
      </c>
      <c r="D904">
        <v>6960</v>
      </c>
      <c r="E904">
        <v>112.177325963974</v>
      </c>
    </row>
    <row r="905" spans="1:5" x14ac:dyDescent="0.25">
      <c r="A905" t="s">
        <v>6</v>
      </c>
      <c r="B905">
        <v>10</v>
      </c>
      <c r="C905">
        <v>8.4999871253967196E-3</v>
      </c>
      <c r="D905">
        <v>7002</v>
      </c>
      <c r="E905">
        <v>64.038294076919499</v>
      </c>
    </row>
    <row r="906" spans="1:5" x14ac:dyDescent="0.25">
      <c r="A906" t="s">
        <v>5</v>
      </c>
      <c r="B906">
        <v>11</v>
      </c>
      <c r="C906">
        <v>6.2777698040008502E-3</v>
      </c>
      <c r="D906">
        <v>6960</v>
      </c>
      <c r="E906">
        <v>112.578184843063</v>
      </c>
    </row>
    <row r="907" spans="1:5" x14ac:dyDescent="0.25">
      <c r="A907" t="s">
        <v>6</v>
      </c>
      <c r="B907">
        <v>11</v>
      </c>
      <c r="C907">
        <v>5.5555458863576204E-3</v>
      </c>
      <c r="D907">
        <v>7002</v>
      </c>
      <c r="E907">
        <v>63.589634418487499</v>
      </c>
    </row>
    <row r="908" spans="1:5" x14ac:dyDescent="0.25">
      <c r="A908" t="s">
        <v>5</v>
      </c>
      <c r="B908">
        <v>12</v>
      </c>
      <c r="C908">
        <v>2.0138816038767402E-3</v>
      </c>
      <c r="D908">
        <v>6960</v>
      </c>
      <c r="E908">
        <v>128.487099409103</v>
      </c>
    </row>
    <row r="909" spans="1:5" x14ac:dyDescent="0.25">
      <c r="A909" t="s">
        <v>6</v>
      </c>
      <c r="B909">
        <v>12</v>
      </c>
      <c r="C909">
        <v>2.5833193461100201E-3</v>
      </c>
      <c r="D909">
        <v>7002</v>
      </c>
      <c r="E909">
        <v>82.353157997131305</v>
      </c>
    </row>
    <row r="910" spans="1:5" x14ac:dyDescent="0.25">
      <c r="A910" t="s">
        <v>5</v>
      </c>
      <c r="B910">
        <v>13</v>
      </c>
      <c r="C910">
        <v>1.27777298291524E-3</v>
      </c>
      <c r="D910">
        <v>6960</v>
      </c>
      <c r="E910">
        <v>128.014390945434</v>
      </c>
    </row>
    <row r="911" spans="1:5" x14ac:dyDescent="0.25">
      <c r="A911" t="s">
        <v>6</v>
      </c>
      <c r="B911">
        <v>13</v>
      </c>
      <c r="C911">
        <v>8.0555140972137396E-4</v>
      </c>
      <c r="D911">
        <v>7002</v>
      </c>
      <c r="E911">
        <v>82.404713630676198</v>
      </c>
    </row>
    <row r="912" spans="1:5" x14ac:dyDescent="0.25">
      <c r="A912" t="s">
        <v>5</v>
      </c>
      <c r="B912">
        <v>14</v>
      </c>
      <c r="C912">
        <v>2.5925854841867999E-4</v>
      </c>
      <c r="D912">
        <v>6960</v>
      </c>
      <c r="E912">
        <v>170.54780817031801</v>
      </c>
    </row>
    <row r="913" spans="1:5" x14ac:dyDescent="0.25">
      <c r="A913" t="s">
        <v>6</v>
      </c>
      <c r="B913">
        <v>14</v>
      </c>
      <c r="C913">
        <v>3.8888732592264801E-4</v>
      </c>
      <c r="D913">
        <v>7002</v>
      </c>
      <c r="E913">
        <v>98.016939401626502</v>
      </c>
    </row>
    <row r="914" spans="1:5" x14ac:dyDescent="0.25">
      <c r="A914" t="s">
        <v>5</v>
      </c>
      <c r="B914">
        <v>15</v>
      </c>
      <c r="C914">
        <v>1.8518447875976501E-4</v>
      </c>
      <c r="D914">
        <v>6960</v>
      </c>
      <c r="E914">
        <v>167.07653498649501</v>
      </c>
    </row>
    <row r="915" spans="1:5" x14ac:dyDescent="0.25">
      <c r="A915" t="s">
        <v>6</v>
      </c>
      <c r="B915">
        <v>15</v>
      </c>
      <c r="C915" s="1">
        <v>9.2592040697733497E-5</v>
      </c>
      <c r="D915">
        <v>7002</v>
      </c>
      <c r="E915">
        <v>97.974004030227604</v>
      </c>
    </row>
    <row r="916" spans="1:5" x14ac:dyDescent="0.25">
      <c r="A916" t="s">
        <v>5</v>
      </c>
      <c r="B916">
        <v>16</v>
      </c>
      <c r="C916">
        <v>0</v>
      </c>
      <c r="D916">
        <v>6960</v>
      </c>
      <c r="E916">
        <v>165.135221004486</v>
      </c>
    </row>
    <row r="917" spans="1:5" x14ac:dyDescent="0.25">
      <c r="A917" t="s">
        <v>6</v>
      </c>
      <c r="B917">
        <v>16</v>
      </c>
      <c r="C917" s="1">
        <v>3.7036736806233697E-5</v>
      </c>
      <c r="D917">
        <v>7002</v>
      </c>
      <c r="E917">
        <v>98.128642320632906</v>
      </c>
    </row>
    <row r="918" spans="1:5" x14ac:dyDescent="0.25">
      <c r="A918" t="s">
        <v>5</v>
      </c>
      <c r="B918">
        <v>17</v>
      </c>
      <c r="C918">
        <v>0</v>
      </c>
      <c r="D918">
        <v>6960</v>
      </c>
      <c r="E918">
        <v>165.85877728462199</v>
      </c>
    </row>
    <row r="919" spans="1:5" x14ac:dyDescent="0.25">
      <c r="A919" t="s">
        <v>6</v>
      </c>
      <c r="B919">
        <v>17</v>
      </c>
      <c r="C919">
        <v>0</v>
      </c>
      <c r="D919">
        <v>7002</v>
      </c>
      <c r="E919">
        <v>98.202306509017902</v>
      </c>
    </row>
    <row r="920" spans="1:5" x14ac:dyDescent="0.25">
      <c r="A920" t="s">
        <v>5</v>
      </c>
      <c r="B920">
        <v>0</v>
      </c>
      <c r="C920">
        <v>0.18716662526130601</v>
      </c>
      <c r="D920">
        <v>6960</v>
      </c>
      <c r="E920">
        <v>112.69802737236</v>
      </c>
    </row>
    <row r="921" spans="1:5" x14ac:dyDescent="0.25">
      <c r="A921" t="s">
        <v>6</v>
      </c>
      <c r="B921">
        <v>0</v>
      </c>
      <c r="C921">
        <v>0.17852773646513601</v>
      </c>
      <c r="D921">
        <v>7002</v>
      </c>
      <c r="E921">
        <v>63.888236761093097</v>
      </c>
    </row>
    <row r="922" spans="1:5" x14ac:dyDescent="0.25">
      <c r="A922" t="s">
        <v>5</v>
      </c>
      <c r="B922">
        <v>1</v>
      </c>
      <c r="C922">
        <v>0.16411106963952299</v>
      </c>
      <c r="D922">
        <v>6960</v>
      </c>
      <c r="E922">
        <v>112.48217916488601</v>
      </c>
    </row>
    <row r="923" spans="1:5" x14ac:dyDescent="0.25">
      <c r="A923" t="s">
        <v>6</v>
      </c>
      <c r="B923">
        <v>1</v>
      </c>
      <c r="C923">
        <v>0.15805551290511999</v>
      </c>
      <c r="D923">
        <v>7002</v>
      </c>
      <c r="E923">
        <v>63.748585939407299</v>
      </c>
    </row>
    <row r="924" spans="1:5" x14ac:dyDescent="0.25">
      <c r="A924" t="s">
        <v>5</v>
      </c>
      <c r="B924">
        <v>2</v>
      </c>
      <c r="C924">
        <v>0.14116662462552301</v>
      </c>
      <c r="D924">
        <v>6960</v>
      </c>
      <c r="E924">
        <v>112.183719158172</v>
      </c>
    </row>
    <row r="925" spans="1:5" x14ac:dyDescent="0.25">
      <c r="A925" t="s">
        <v>6</v>
      </c>
      <c r="B925">
        <v>2</v>
      </c>
      <c r="C925">
        <v>0.13338884810606599</v>
      </c>
      <c r="D925">
        <v>7002</v>
      </c>
      <c r="E925">
        <v>63.7040562629699</v>
      </c>
    </row>
    <row r="926" spans="1:5" x14ac:dyDescent="0.25">
      <c r="A926" t="s">
        <v>5</v>
      </c>
      <c r="B926">
        <v>3</v>
      </c>
      <c r="C926">
        <v>0.119777737061182</v>
      </c>
      <c r="D926">
        <v>6960</v>
      </c>
      <c r="E926">
        <v>112.31649780273401</v>
      </c>
    </row>
    <row r="927" spans="1:5" x14ac:dyDescent="0.25">
      <c r="A927" t="s">
        <v>6</v>
      </c>
      <c r="B927">
        <v>3</v>
      </c>
      <c r="C927">
        <v>0.109805512229601</v>
      </c>
      <c r="D927">
        <v>7002</v>
      </c>
      <c r="E927">
        <v>63.771807432174597</v>
      </c>
    </row>
    <row r="928" spans="1:5" x14ac:dyDescent="0.25">
      <c r="A928" t="s">
        <v>5</v>
      </c>
      <c r="B928">
        <v>4</v>
      </c>
      <c r="C928">
        <v>9.7888846198717697E-2</v>
      </c>
      <c r="D928">
        <v>6960</v>
      </c>
      <c r="E928">
        <v>112.648441314697</v>
      </c>
    </row>
    <row r="929" spans="1:5" x14ac:dyDescent="0.25">
      <c r="A929" t="s">
        <v>6</v>
      </c>
      <c r="B929">
        <v>4</v>
      </c>
      <c r="C929">
        <v>8.6111067334810804E-2</v>
      </c>
      <c r="D929">
        <v>7002</v>
      </c>
      <c r="E929">
        <v>63.690771579742403</v>
      </c>
    </row>
    <row r="930" spans="1:5" x14ac:dyDescent="0.25">
      <c r="A930" t="s">
        <v>5</v>
      </c>
      <c r="B930">
        <v>5</v>
      </c>
      <c r="C930">
        <v>7.8611067136128698E-2</v>
      </c>
      <c r="D930">
        <v>6960</v>
      </c>
      <c r="E930">
        <v>112.831899404525</v>
      </c>
    </row>
    <row r="931" spans="1:5" x14ac:dyDescent="0.25">
      <c r="A931" t="s">
        <v>6</v>
      </c>
      <c r="B931">
        <v>5</v>
      </c>
      <c r="C931">
        <v>6.5916622281074505E-2</v>
      </c>
      <c r="D931">
        <v>7002</v>
      </c>
      <c r="E931">
        <v>63.887417316436697</v>
      </c>
    </row>
    <row r="932" spans="1:5" x14ac:dyDescent="0.25">
      <c r="A932" t="s">
        <v>5</v>
      </c>
      <c r="B932">
        <v>6</v>
      </c>
      <c r="C932">
        <v>6.1888845960299102E-2</v>
      </c>
      <c r="D932">
        <v>6960</v>
      </c>
      <c r="E932">
        <v>112.34301996231</v>
      </c>
    </row>
    <row r="933" spans="1:5" x14ac:dyDescent="0.25">
      <c r="A933" t="s">
        <v>6</v>
      </c>
      <c r="B933">
        <v>6</v>
      </c>
      <c r="C933">
        <v>4.8416626850763901E-2</v>
      </c>
      <c r="D933">
        <v>7002</v>
      </c>
      <c r="E933">
        <v>63.751572847366297</v>
      </c>
    </row>
    <row r="934" spans="1:5" x14ac:dyDescent="0.25">
      <c r="A934" t="s">
        <v>5</v>
      </c>
      <c r="B934">
        <v>8</v>
      </c>
      <c r="C934">
        <v>3.5861074725786798E-2</v>
      </c>
      <c r="D934">
        <v>6960</v>
      </c>
      <c r="E934">
        <v>112.361693382263</v>
      </c>
    </row>
    <row r="935" spans="1:5" x14ac:dyDescent="0.25">
      <c r="A935" t="s">
        <v>6</v>
      </c>
      <c r="B935">
        <v>8</v>
      </c>
      <c r="C935">
        <v>2.36388589938481E-2</v>
      </c>
      <c r="D935">
        <v>7002</v>
      </c>
      <c r="E935">
        <v>63.904989004135103</v>
      </c>
    </row>
    <row r="936" spans="1:5" x14ac:dyDescent="0.25">
      <c r="A936" t="s">
        <v>5</v>
      </c>
      <c r="B936">
        <v>9</v>
      </c>
      <c r="C936">
        <v>2.1972196102142301E-2</v>
      </c>
      <c r="D936">
        <v>6960</v>
      </c>
      <c r="E936">
        <v>112.567154169082</v>
      </c>
    </row>
    <row r="937" spans="1:5" x14ac:dyDescent="0.25">
      <c r="A937" t="s">
        <v>6</v>
      </c>
      <c r="B937">
        <v>9</v>
      </c>
      <c r="C937">
        <v>1.5194421410560601E-2</v>
      </c>
      <c r="D937">
        <v>7002</v>
      </c>
      <c r="E937">
        <v>63.754346609115601</v>
      </c>
    </row>
    <row r="938" spans="1:5" x14ac:dyDescent="0.25">
      <c r="A938" t="s">
        <v>5</v>
      </c>
      <c r="B938">
        <v>10</v>
      </c>
      <c r="C938">
        <v>1.28610956668853E-2</v>
      </c>
      <c r="D938">
        <v>6960</v>
      </c>
      <c r="E938">
        <v>112.82942748069701</v>
      </c>
    </row>
    <row r="939" spans="1:5" x14ac:dyDescent="0.25">
      <c r="A939" t="s">
        <v>6</v>
      </c>
      <c r="B939">
        <v>10</v>
      </c>
      <c r="C939">
        <v>1.0944425662358599E-2</v>
      </c>
      <c r="D939">
        <v>7002</v>
      </c>
      <c r="E939">
        <v>64.070773601531897</v>
      </c>
    </row>
    <row r="940" spans="1:5" x14ac:dyDescent="0.25">
      <c r="A940" t="s">
        <v>5</v>
      </c>
      <c r="B940">
        <v>11</v>
      </c>
      <c r="C940">
        <v>6.3888798157373996E-3</v>
      </c>
      <c r="D940">
        <v>6960</v>
      </c>
      <c r="E940">
        <v>112.945003986358</v>
      </c>
    </row>
    <row r="941" spans="1:5" x14ac:dyDescent="0.25">
      <c r="A941" t="s">
        <v>6</v>
      </c>
      <c r="B941">
        <v>11</v>
      </c>
      <c r="C941">
        <v>7.1944298346837297E-3</v>
      </c>
      <c r="D941">
        <v>7002</v>
      </c>
      <c r="E941">
        <v>64.670867681503296</v>
      </c>
    </row>
    <row r="942" spans="1:5" x14ac:dyDescent="0.25">
      <c r="A942" t="s">
        <v>5</v>
      </c>
      <c r="B942">
        <v>12</v>
      </c>
      <c r="C942">
        <v>1.9722141822179099E-3</v>
      </c>
      <c r="D942">
        <v>6960</v>
      </c>
      <c r="E942">
        <v>128.330575227737</v>
      </c>
    </row>
    <row r="943" spans="1:5" x14ac:dyDescent="0.25">
      <c r="A943" t="s">
        <v>6</v>
      </c>
      <c r="B943">
        <v>12</v>
      </c>
      <c r="C943">
        <v>1.80554707845052E-3</v>
      </c>
      <c r="D943">
        <v>7002</v>
      </c>
      <c r="E943">
        <v>82.103160142898503</v>
      </c>
    </row>
    <row r="944" spans="1:5" x14ac:dyDescent="0.25">
      <c r="A944" t="s">
        <v>5</v>
      </c>
      <c r="B944">
        <v>13</v>
      </c>
      <c r="C944">
        <v>1.1805506547291999E-3</v>
      </c>
      <c r="D944">
        <v>6960</v>
      </c>
      <c r="E944">
        <v>128.82846260070801</v>
      </c>
    </row>
    <row r="945" spans="1:5" x14ac:dyDescent="0.25">
      <c r="A945" t="s">
        <v>6</v>
      </c>
      <c r="B945">
        <v>13</v>
      </c>
      <c r="C945">
        <v>1.0277716318766201E-3</v>
      </c>
      <c r="D945">
        <v>7002</v>
      </c>
      <c r="E945">
        <v>82.369937419891301</v>
      </c>
    </row>
    <row r="946" spans="1:5" x14ac:dyDescent="0.25">
      <c r="A946" t="s">
        <v>5</v>
      </c>
      <c r="B946">
        <v>14</v>
      </c>
      <c r="C946">
        <v>4.62961991628011E-4</v>
      </c>
      <c r="D946">
        <v>6960</v>
      </c>
      <c r="E946">
        <v>176.28913235664299</v>
      </c>
    </row>
    <row r="947" spans="1:5" x14ac:dyDescent="0.25">
      <c r="A947" t="s">
        <v>6</v>
      </c>
      <c r="B947">
        <v>14</v>
      </c>
      <c r="C947">
        <v>3.5184999306996599E-4</v>
      </c>
      <c r="D947">
        <v>7002</v>
      </c>
      <c r="E947">
        <v>98.531395196914602</v>
      </c>
    </row>
    <row r="948" spans="1:5" x14ac:dyDescent="0.25">
      <c r="A948" t="s">
        <v>5</v>
      </c>
      <c r="B948">
        <v>15</v>
      </c>
      <c r="C948">
        <v>1.11110806465148E-4</v>
      </c>
      <c r="D948">
        <v>6960</v>
      </c>
      <c r="E948">
        <v>168.145480155944</v>
      </c>
    </row>
    <row r="949" spans="1:5" x14ac:dyDescent="0.25">
      <c r="A949" t="s">
        <v>6</v>
      </c>
      <c r="B949">
        <v>15</v>
      </c>
      <c r="C949">
        <v>1.38888160387674E-4</v>
      </c>
      <c r="D949">
        <v>7002</v>
      </c>
      <c r="E949">
        <v>99.300259590148897</v>
      </c>
    </row>
    <row r="950" spans="1:5" x14ac:dyDescent="0.25">
      <c r="A950" t="s">
        <v>5</v>
      </c>
      <c r="B950">
        <v>16</v>
      </c>
      <c r="C950">
        <v>1.8518447875976501E-4</v>
      </c>
      <c r="D950">
        <v>6960</v>
      </c>
      <c r="E950">
        <v>165.78979086875901</v>
      </c>
    </row>
    <row r="951" spans="1:5" x14ac:dyDescent="0.25">
      <c r="A951" t="s">
        <v>6</v>
      </c>
      <c r="B951">
        <v>16</v>
      </c>
      <c r="C951" s="1">
        <v>4.6296119689941401E-5</v>
      </c>
      <c r="D951">
        <v>7002</v>
      </c>
      <c r="E951">
        <v>98.595956087112398</v>
      </c>
    </row>
    <row r="952" spans="1:5" x14ac:dyDescent="0.25">
      <c r="A952" t="s">
        <v>5</v>
      </c>
      <c r="B952">
        <v>17</v>
      </c>
      <c r="C952" s="1">
        <v>5.5555502573648997E-5</v>
      </c>
      <c r="D952">
        <v>6960</v>
      </c>
      <c r="E952">
        <v>166.16228461265499</v>
      </c>
    </row>
    <row r="953" spans="1:5" x14ac:dyDescent="0.25">
      <c r="A953" t="s">
        <v>6</v>
      </c>
      <c r="B953">
        <v>17</v>
      </c>
      <c r="C953" s="1">
        <v>3.7036935488382901E-5</v>
      </c>
      <c r="D953">
        <v>7002</v>
      </c>
      <c r="E953">
        <v>98.023393154144202</v>
      </c>
    </row>
    <row r="954" spans="1:5" x14ac:dyDescent="0.25">
      <c r="A954" t="s">
        <v>5</v>
      </c>
      <c r="B954">
        <v>0</v>
      </c>
      <c r="C954">
        <v>0.188749958872795</v>
      </c>
      <c r="D954">
        <v>6960</v>
      </c>
      <c r="E954">
        <v>111.391031980514</v>
      </c>
    </row>
    <row r="955" spans="1:5" x14ac:dyDescent="0.25">
      <c r="A955" t="s">
        <v>6</v>
      </c>
      <c r="B955">
        <v>0</v>
      </c>
      <c r="C955">
        <v>0.18102773646513601</v>
      </c>
      <c r="D955">
        <v>7002</v>
      </c>
      <c r="E955">
        <v>63.668215274810699</v>
      </c>
    </row>
    <row r="956" spans="1:5" x14ac:dyDescent="0.25">
      <c r="A956" t="s">
        <v>5</v>
      </c>
      <c r="B956">
        <v>1</v>
      </c>
      <c r="C956">
        <v>0.16433329145113601</v>
      </c>
      <c r="D956">
        <v>6960</v>
      </c>
      <c r="E956">
        <v>112.477030992507</v>
      </c>
    </row>
    <row r="957" spans="1:5" x14ac:dyDescent="0.25">
      <c r="A957" t="s">
        <v>6</v>
      </c>
      <c r="B957">
        <v>1</v>
      </c>
      <c r="C957">
        <v>0.15727773686249999</v>
      </c>
      <c r="D957">
        <v>7002</v>
      </c>
      <c r="E957">
        <v>63.927752971649099</v>
      </c>
    </row>
    <row r="958" spans="1:5" x14ac:dyDescent="0.25">
      <c r="A958" t="s">
        <v>5</v>
      </c>
      <c r="B958">
        <v>2</v>
      </c>
      <c r="C958">
        <v>0.14186107039451501</v>
      </c>
      <c r="D958">
        <v>6960</v>
      </c>
      <c r="E958">
        <v>111.95079088211</v>
      </c>
    </row>
    <row r="959" spans="1:5" x14ac:dyDescent="0.25">
      <c r="A959" t="s">
        <v>6</v>
      </c>
      <c r="B959">
        <v>2</v>
      </c>
      <c r="C959">
        <v>0.13186106920242299</v>
      </c>
      <c r="D959">
        <v>7002</v>
      </c>
      <c r="E959">
        <v>63.655185937881399</v>
      </c>
    </row>
    <row r="960" spans="1:5" x14ac:dyDescent="0.25">
      <c r="A960" t="s">
        <v>5</v>
      </c>
      <c r="B960">
        <v>3</v>
      </c>
      <c r="C960">
        <v>0.12027773777643801</v>
      </c>
      <c r="D960">
        <v>6960</v>
      </c>
      <c r="E960">
        <v>112.165247201919</v>
      </c>
    </row>
    <row r="961" spans="1:5" x14ac:dyDescent="0.25">
      <c r="A961" t="s">
        <v>6</v>
      </c>
      <c r="B961">
        <v>3</v>
      </c>
      <c r="C961">
        <v>0.108194401661554</v>
      </c>
      <c r="D961">
        <v>7002</v>
      </c>
      <c r="E961">
        <v>63.756137132644596</v>
      </c>
    </row>
    <row r="962" spans="1:5" x14ac:dyDescent="0.25">
      <c r="A962" t="s">
        <v>5</v>
      </c>
      <c r="B962">
        <v>4</v>
      </c>
      <c r="C962">
        <v>9.7444402178128497E-2</v>
      </c>
      <c r="D962">
        <v>6960</v>
      </c>
      <c r="E962">
        <v>111.528458118438</v>
      </c>
    </row>
    <row r="963" spans="1:5" x14ac:dyDescent="0.25">
      <c r="A963" t="s">
        <v>6</v>
      </c>
      <c r="B963">
        <v>4</v>
      </c>
      <c r="C963">
        <v>8.6138846079508405E-2</v>
      </c>
      <c r="D963">
        <v>7002</v>
      </c>
      <c r="E963">
        <v>63.526316404342602</v>
      </c>
    </row>
    <row r="964" spans="1:5" x14ac:dyDescent="0.25">
      <c r="A964" t="s">
        <v>5</v>
      </c>
      <c r="B964">
        <v>5</v>
      </c>
      <c r="C964">
        <v>7.6861067612965905E-2</v>
      </c>
      <c r="D964">
        <v>6960</v>
      </c>
      <c r="E964">
        <v>112.79622554779</v>
      </c>
    </row>
    <row r="965" spans="1:5" x14ac:dyDescent="0.25">
      <c r="A965" t="s">
        <v>6</v>
      </c>
      <c r="B965">
        <v>5</v>
      </c>
      <c r="C965">
        <v>6.7361067136128702E-2</v>
      </c>
      <c r="D965">
        <v>7002</v>
      </c>
      <c r="E965">
        <v>63.807178735732997</v>
      </c>
    </row>
    <row r="966" spans="1:5" x14ac:dyDescent="0.25">
      <c r="A966" t="s">
        <v>5</v>
      </c>
      <c r="B966">
        <v>6</v>
      </c>
      <c r="C966">
        <v>6.00277340412139E-2</v>
      </c>
      <c r="D966">
        <v>6960</v>
      </c>
      <c r="E966">
        <v>111.74193859100301</v>
      </c>
    </row>
    <row r="967" spans="1:5" x14ac:dyDescent="0.25">
      <c r="A967" t="s">
        <v>6</v>
      </c>
      <c r="B967">
        <v>6</v>
      </c>
      <c r="C967">
        <v>5.04721806446711E-2</v>
      </c>
      <c r="D967">
        <v>7002</v>
      </c>
      <c r="E967">
        <v>63.722025394439697</v>
      </c>
    </row>
    <row r="968" spans="1:5" x14ac:dyDescent="0.25">
      <c r="A968" t="s">
        <v>5</v>
      </c>
      <c r="B968">
        <v>8</v>
      </c>
      <c r="C968">
        <v>3.3277743260065697E-2</v>
      </c>
      <c r="D968">
        <v>6960</v>
      </c>
      <c r="E968">
        <v>112.40887761115999</v>
      </c>
    </row>
    <row r="969" spans="1:5" x14ac:dyDescent="0.25">
      <c r="A969" t="s">
        <v>6</v>
      </c>
      <c r="B969">
        <v>8</v>
      </c>
      <c r="C969">
        <v>2.46944119532903E-2</v>
      </c>
      <c r="D969">
        <v>7002</v>
      </c>
      <c r="E969">
        <v>63.787452697753899</v>
      </c>
    </row>
    <row r="970" spans="1:5" x14ac:dyDescent="0.25">
      <c r="A970" t="s">
        <v>5</v>
      </c>
      <c r="B970">
        <v>9</v>
      </c>
      <c r="C970">
        <v>2.3055528998374899E-2</v>
      </c>
      <c r="D970">
        <v>6960</v>
      </c>
      <c r="E970">
        <v>111.90194964408801</v>
      </c>
    </row>
    <row r="971" spans="1:5" x14ac:dyDescent="0.25">
      <c r="A971" t="s">
        <v>6</v>
      </c>
      <c r="B971">
        <v>9</v>
      </c>
      <c r="C971">
        <v>1.6444420417149799E-2</v>
      </c>
      <c r="D971">
        <v>7002</v>
      </c>
      <c r="E971">
        <v>63.723989725112901</v>
      </c>
    </row>
    <row r="972" spans="1:5" x14ac:dyDescent="0.25">
      <c r="A972" t="s">
        <v>5</v>
      </c>
      <c r="B972">
        <v>10</v>
      </c>
      <c r="C972">
        <v>1.19999847809473E-2</v>
      </c>
      <c r="D972">
        <v>6960</v>
      </c>
      <c r="E972">
        <v>112.333586931228</v>
      </c>
    </row>
    <row r="973" spans="1:5" x14ac:dyDescent="0.25">
      <c r="A973" t="s">
        <v>6</v>
      </c>
      <c r="B973">
        <v>10</v>
      </c>
      <c r="C973">
        <v>1.0444425344467099E-2</v>
      </c>
      <c r="D973">
        <v>7002</v>
      </c>
      <c r="E973">
        <v>63.9561960697174</v>
      </c>
    </row>
    <row r="974" spans="1:5" x14ac:dyDescent="0.25">
      <c r="A974" t="s">
        <v>5</v>
      </c>
      <c r="B974">
        <v>11</v>
      </c>
      <c r="C974">
        <v>7.4444357554117801E-3</v>
      </c>
      <c r="D974">
        <v>6960</v>
      </c>
      <c r="E974">
        <v>111.98229265213</v>
      </c>
    </row>
    <row r="975" spans="1:5" x14ac:dyDescent="0.25">
      <c r="A975" t="s">
        <v>6</v>
      </c>
      <c r="B975">
        <v>11</v>
      </c>
      <c r="C975">
        <v>4.7222125530242904E-3</v>
      </c>
      <c r="D975">
        <v>7002</v>
      </c>
      <c r="E975">
        <v>63.8861851692199</v>
      </c>
    </row>
    <row r="976" spans="1:5" x14ac:dyDescent="0.25">
      <c r="A976" t="s">
        <v>5</v>
      </c>
      <c r="B976">
        <v>12</v>
      </c>
      <c r="C976">
        <v>2.6944323380788098E-3</v>
      </c>
      <c r="D976">
        <v>6960</v>
      </c>
      <c r="E976">
        <v>127.919053077697</v>
      </c>
    </row>
    <row r="977" spans="1:5" x14ac:dyDescent="0.25">
      <c r="A977" t="s">
        <v>6</v>
      </c>
      <c r="B977">
        <v>12</v>
      </c>
      <c r="C977">
        <v>1.79165800412495E-3</v>
      </c>
      <c r="D977">
        <v>7002</v>
      </c>
      <c r="E977">
        <v>82.739747524261404</v>
      </c>
    </row>
    <row r="978" spans="1:5" x14ac:dyDescent="0.25">
      <c r="A978" t="s">
        <v>5</v>
      </c>
      <c r="B978">
        <v>13</v>
      </c>
      <c r="C978">
        <v>4.0277600288391103E-4</v>
      </c>
      <c r="D978">
        <v>6960</v>
      </c>
      <c r="E978">
        <v>127.600539207458</v>
      </c>
    </row>
    <row r="979" spans="1:5" x14ac:dyDescent="0.25">
      <c r="A979" t="s">
        <v>6</v>
      </c>
      <c r="B979">
        <v>13</v>
      </c>
      <c r="C979">
        <v>1.2638827164967799E-3</v>
      </c>
      <c r="D979">
        <v>7002</v>
      </c>
      <c r="E979">
        <v>81.923125982284503</v>
      </c>
    </row>
    <row r="980" spans="1:5" x14ac:dyDescent="0.25">
      <c r="A980" t="s">
        <v>5</v>
      </c>
      <c r="B980">
        <v>14</v>
      </c>
      <c r="C980">
        <v>1.94443662961324E-4</v>
      </c>
      <c r="D980">
        <v>6960</v>
      </c>
      <c r="E980">
        <v>177.38018345832799</v>
      </c>
    </row>
    <row r="981" spans="1:5" x14ac:dyDescent="0.25">
      <c r="A981" t="s">
        <v>6</v>
      </c>
      <c r="B981">
        <v>14</v>
      </c>
      <c r="C981">
        <v>7.4073771635691302E-4</v>
      </c>
      <c r="D981">
        <v>7002</v>
      </c>
      <c r="E981">
        <v>97.782665252685504</v>
      </c>
    </row>
    <row r="982" spans="1:5" x14ac:dyDescent="0.25">
      <c r="A982" t="s">
        <v>5</v>
      </c>
      <c r="B982">
        <v>15</v>
      </c>
      <c r="C982" s="1">
        <v>8.3332856496175098E-5</v>
      </c>
      <c r="D982">
        <v>6960</v>
      </c>
      <c r="E982">
        <v>167.51972770690901</v>
      </c>
    </row>
    <row r="983" spans="1:5" x14ac:dyDescent="0.25">
      <c r="A983" t="s">
        <v>6</v>
      </c>
      <c r="B983">
        <v>15</v>
      </c>
      <c r="C983">
        <v>4.25924261411031E-4</v>
      </c>
      <c r="D983">
        <v>7002</v>
      </c>
      <c r="E983">
        <v>98.141608953475895</v>
      </c>
    </row>
    <row r="984" spans="1:5" x14ac:dyDescent="0.25">
      <c r="A984" t="s">
        <v>5</v>
      </c>
      <c r="B984">
        <v>16</v>
      </c>
      <c r="C984">
        <v>0</v>
      </c>
      <c r="D984">
        <v>6960</v>
      </c>
      <c r="E984">
        <v>165.49906730651799</v>
      </c>
    </row>
    <row r="985" spans="1:5" x14ac:dyDescent="0.25">
      <c r="A985" t="s">
        <v>6</v>
      </c>
      <c r="B985">
        <v>16</v>
      </c>
      <c r="C985" s="1">
        <v>3.7036935488382901E-5</v>
      </c>
      <c r="D985">
        <v>7002</v>
      </c>
      <c r="E985">
        <v>97.472180366516099</v>
      </c>
    </row>
    <row r="986" spans="1:5" x14ac:dyDescent="0.25">
      <c r="A986" t="s">
        <v>5</v>
      </c>
      <c r="B986">
        <v>17</v>
      </c>
      <c r="C986">
        <v>0</v>
      </c>
      <c r="D986">
        <v>6960</v>
      </c>
      <c r="E986">
        <v>165.759140729904</v>
      </c>
    </row>
    <row r="987" spans="1:5" x14ac:dyDescent="0.25">
      <c r="A987" t="s">
        <v>6</v>
      </c>
      <c r="B987">
        <v>17</v>
      </c>
      <c r="C987">
        <v>0</v>
      </c>
      <c r="D987">
        <v>7002</v>
      </c>
      <c r="E987">
        <v>97.951195478439303</v>
      </c>
    </row>
    <row r="988" spans="1:5" x14ac:dyDescent="0.25">
      <c r="A988" t="s">
        <v>5</v>
      </c>
      <c r="B988">
        <v>0</v>
      </c>
      <c r="C988">
        <v>0.188361067374547</v>
      </c>
      <c r="D988">
        <v>6960</v>
      </c>
      <c r="E988">
        <v>111.253966093063</v>
      </c>
    </row>
    <row r="989" spans="1:5" x14ac:dyDescent="0.25">
      <c r="A989" t="s">
        <v>6</v>
      </c>
      <c r="B989">
        <v>0</v>
      </c>
      <c r="C989">
        <v>0.180055512388547</v>
      </c>
      <c r="D989">
        <v>7002</v>
      </c>
      <c r="E989">
        <v>64.096873521804795</v>
      </c>
    </row>
    <row r="990" spans="1:5" x14ac:dyDescent="0.25">
      <c r="A990" t="s">
        <v>5</v>
      </c>
      <c r="B990">
        <v>1</v>
      </c>
      <c r="C990">
        <v>0.162222181359926</v>
      </c>
      <c r="D990">
        <v>6960</v>
      </c>
      <c r="E990">
        <v>111.92836833000101</v>
      </c>
    </row>
    <row r="991" spans="1:5" x14ac:dyDescent="0.25">
      <c r="A991" t="s">
        <v>6</v>
      </c>
      <c r="B991">
        <v>1</v>
      </c>
      <c r="C991">
        <v>0.15605551362037601</v>
      </c>
      <c r="D991">
        <v>7002</v>
      </c>
      <c r="E991">
        <v>63.57075881958</v>
      </c>
    </row>
    <row r="992" spans="1:5" x14ac:dyDescent="0.25">
      <c r="A992" t="s">
        <v>5</v>
      </c>
      <c r="B992">
        <v>2</v>
      </c>
      <c r="C992">
        <v>0.14186106860637601</v>
      </c>
      <c r="D992">
        <v>6960</v>
      </c>
      <c r="E992">
        <v>111.523327827453</v>
      </c>
    </row>
    <row r="993" spans="1:5" x14ac:dyDescent="0.25">
      <c r="A993" t="s">
        <v>6</v>
      </c>
      <c r="B993">
        <v>2</v>
      </c>
      <c r="C993">
        <v>0.13602773706118201</v>
      </c>
      <c r="D993">
        <v>7002</v>
      </c>
      <c r="E993">
        <v>63.587495803833001</v>
      </c>
    </row>
    <row r="994" spans="1:5" x14ac:dyDescent="0.25">
      <c r="A994" t="s">
        <v>5</v>
      </c>
      <c r="B994">
        <v>3</v>
      </c>
      <c r="C994">
        <v>0.11838884850343</v>
      </c>
      <c r="D994">
        <v>6960</v>
      </c>
      <c r="E994">
        <v>111.145638704299</v>
      </c>
    </row>
    <row r="995" spans="1:5" x14ac:dyDescent="0.25">
      <c r="A995" t="s">
        <v>6</v>
      </c>
      <c r="B995">
        <v>3</v>
      </c>
      <c r="C995">
        <v>0.111333289742469</v>
      </c>
      <c r="D995">
        <v>7002</v>
      </c>
      <c r="E995">
        <v>63.688395500183098</v>
      </c>
    </row>
    <row r="996" spans="1:5" x14ac:dyDescent="0.25">
      <c r="A996" t="s">
        <v>5</v>
      </c>
      <c r="B996">
        <v>4</v>
      </c>
      <c r="C996">
        <v>0.10033329129219</v>
      </c>
      <c r="D996">
        <v>6960</v>
      </c>
      <c r="E996">
        <v>112.29496502876199</v>
      </c>
    </row>
    <row r="997" spans="1:5" x14ac:dyDescent="0.25">
      <c r="A997" t="s">
        <v>6</v>
      </c>
      <c r="B997">
        <v>4</v>
      </c>
      <c r="C997">
        <v>8.5666623115539506E-2</v>
      </c>
      <c r="D997">
        <v>7002</v>
      </c>
      <c r="E997">
        <v>63.7063052654266</v>
      </c>
    </row>
    <row r="998" spans="1:5" x14ac:dyDescent="0.25">
      <c r="A998" t="s">
        <v>5</v>
      </c>
      <c r="B998">
        <v>5</v>
      </c>
      <c r="C998">
        <v>7.6666623353958102E-2</v>
      </c>
      <c r="D998">
        <v>6960</v>
      </c>
      <c r="E998">
        <v>110.64765882492</v>
      </c>
    </row>
    <row r="999" spans="1:5" x14ac:dyDescent="0.25">
      <c r="A999" t="s">
        <v>6</v>
      </c>
      <c r="B999">
        <v>5</v>
      </c>
      <c r="C999">
        <v>6.56388463576634E-2</v>
      </c>
      <c r="D999">
        <v>7002</v>
      </c>
      <c r="E999">
        <v>63.4050385951995</v>
      </c>
    </row>
    <row r="1000" spans="1:5" x14ac:dyDescent="0.25">
      <c r="A1000" t="s">
        <v>5</v>
      </c>
      <c r="B1000">
        <v>6</v>
      </c>
      <c r="C1000">
        <v>6.1694401303927102E-2</v>
      </c>
      <c r="D1000">
        <v>6960</v>
      </c>
      <c r="E1000">
        <v>111.910899162292</v>
      </c>
    </row>
    <row r="1001" spans="1:5" x14ac:dyDescent="0.25">
      <c r="A1001" t="s">
        <v>6</v>
      </c>
      <c r="B1001">
        <v>6</v>
      </c>
      <c r="C1001">
        <v>4.60832937558492E-2</v>
      </c>
      <c r="D1001">
        <v>7002</v>
      </c>
      <c r="E1001">
        <v>63.788705348968499</v>
      </c>
    </row>
    <row r="1002" spans="1:5" x14ac:dyDescent="0.25">
      <c r="A1002" t="s">
        <v>5</v>
      </c>
      <c r="B1002">
        <v>8</v>
      </c>
      <c r="C1002">
        <v>3.6305516759554499E-2</v>
      </c>
      <c r="D1002">
        <v>6960</v>
      </c>
      <c r="E1002">
        <v>112.215010881423</v>
      </c>
    </row>
    <row r="1003" spans="1:5" x14ac:dyDescent="0.25">
      <c r="A1003" t="s">
        <v>6</v>
      </c>
      <c r="B1003">
        <v>8</v>
      </c>
      <c r="C1003">
        <v>2.58055233955383E-2</v>
      </c>
      <c r="D1003">
        <v>7002</v>
      </c>
      <c r="E1003">
        <v>63.804133892059298</v>
      </c>
    </row>
    <row r="1004" spans="1:5" x14ac:dyDescent="0.25">
      <c r="A1004" t="s">
        <v>5</v>
      </c>
      <c r="B1004">
        <v>9</v>
      </c>
      <c r="C1004">
        <v>2.26666422684987E-2</v>
      </c>
      <c r="D1004">
        <v>6960</v>
      </c>
      <c r="E1004">
        <v>112.311153173446</v>
      </c>
    </row>
    <row r="1005" spans="1:5" x14ac:dyDescent="0.25">
      <c r="A1005" t="s">
        <v>6</v>
      </c>
      <c r="B1005">
        <v>9</v>
      </c>
      <c r="C1005">
        <v>1.38610901435216E-2</v>
      </c>
      <c r="D1005">
        <v>7002</v>
      </c>
      <c r="E1005">
        <v>63.687360525131197</v>
      </c>
    </row>
    <row r="1006" spans="1:5" x14ac:dyDescent="0.25">
      <c r="A1006" t="s">
        <v>5</v>
      </c>
      <c r="B1006">
        <v>10</v>
      </c>
      <c r="C1006">
        <v>1.1749985218048001E-2</v>
      </c>
      <c r="D1006">
        <v>6960</v>
      </c>
      <c r="E1006">
        <v>112.391460895538</v>
      </c>
    </row>
    <row r="1007" spans="1:5" x14ac:dyDescent="0.25">
      <c r="A1007" t="s">
        <v>6</v>
      </c>
      <c r="B1007">
        <v>10</v>
      </c>
      <c r="C1007">
        <v>9.6666514873504604E-3</v>
      </c>
      <c r="D1007">
        <v>7002</v>
      </c>
      <c r="E1007">
        <v>63.9029991626739</v>
      </c>
    </row>
    <row r="1008" spans="1:5" x14ac:dyDescent="0.25">
      <c r="A1008" t="s">
        <v>5</v>
      </c>
      <c r="B1008">
        <v>11</v>
      </c>
      <c r="C1008">
        <v>5.7222135861714598E-3</v>
      </c>
      <c r="D1008">
        <v>6960</v>
      </c>
      <c r="E1008">
        <v>112.067452907562</v>
      </c>
    </row>
    <row r="1009" spans="1:5" x14ac:dyDescent="0.25">
      <c r="A1009" t="s">
        <v>6</v>
      </c>
      <c r="B1009">
        <v>11</v>
      </c>
      <c r="C1009">
        <v>8.1110968192418392E-3</v>
      </c>
      <c r="D1009">
        <v>7002</v>
      </c>
      <c r="E1009">
        <v>65.165099382400498</v>
      </c>
    </row>
    <row r="1010" spans="1:5" x14ac:dyDescent="0.25">
      <c r="A1010" t="s">
        <v>5</v>
      </c>
      <c r="B1010">
        <v>12</v>
      </c>
      <c r="C1010">
        <v>2.2916583220163899E-3</v>
      </c>
      <c r="D1010">
        <v>6960</v>
      </c>
      <c r="E1010">
        <v>128.62016367912199</v>
      </c>
    </row>
    <row r="1011" spans="1:5" x14ac:dyDescent="0.25">
      <c r="A1011" t="s">
        <v>6</v>
      </c>
      <c r="B1011">
        <v>12</v>
      </c>
      <c r="C1011">
        <v>1.9999899466832398E-3</v>
      </c>
      <c r="D1011">
        <v>7002</v>
      </c>
      <c r="E1011">
        <v>82.907519578933702</v>
      </c>
    </row>
    <row r="1012" spans="1:5" x14ac:dyDescent="0.25">
      <c r="A1012" t="s">
        <v>5</v>
      </c>
      <c r="B1012">
        <v>13</v>
      </c>
      <c r="C1012">
        <v>5.8333118756612103E-4</v>
      </c>
      <c r="D1012">
        <v>6960</v>
      </c>
      <c r="E1012">
        <v>128.71357345581001</v>
      </c>
    </row>
    <row r="1013" spans="1:5" x14ac:dyDescent="0.25">
      <c r="A1013" t="s">
        <v>6</v>
      </c>
      <c r="B1013">
        <v>13</v>
      </c>
      <c r="C1013">
        <v>6.9444060325622497E-4</v>
      </c>
      <c r="D1013">
        <v>7002</v>
      </c>
      <c r="E1013">
        <v>82.286601066589299</v>
      </c>
    </row>
    <row r="1014" spans="1:5" x14ac:dyDescent="0.25">
      <c r="A1014" t="s">
        <v>5</v>
      </c>
      <c r="B1014">
        <v>14</v>
      </c>
      <c r="C1014">
        <v>2.5925834973653103E-4</v>
      </c>
      <c r="D1014">
        <v>6960</v>
      </c>
      <c r="E1014">
        <v>200.950119972229</v>
      </c>
    </row>
    <row r="1015" spans="1:5" x14ac:dyDescent="0.25">
      <c r="A1015" t="s">
        <v>6</v>
      </c>
      <c r="B1015">
        <v>14</v>
      </c>
      <c r="C1015">
        <v>2.7777632077534902E-4</v>
      </c>
      <c r="D1015">
        <v>7002</v>
      </c>
      <c r="E1015">
        <v>100.83433246612501</v>
      </c>
    </row>
    <row r="1016" spans="1:5" x14ac:dyDescent="0.25">
      <c r="A1016" t="s">
        <v>5</v>
      </c>
      <c r="B1016">
        <v>15</v>
      </c>
      <c r="C1016">
        <v>1.20370189348856E-4</v>
      </c>
      <c r="D1016">
        <v>6960</v>
      </c>
      <c r="E1016">
        <v>173.79742145538299</v>
      </c>
    </row>
    <row r="1017" spans="1:5" x14ac:dyDescent="0.25">
      <c r="A1017" t="s">
        <v>6</v>
      </c>
      <c r="B1017">
        <v>15</v>
      </c>
      <c r="C1017">
        <v>1.38888160387674E-4</v>
      </c>
      <c r="D1017">
        <v>7002</v>
      </c>
      <c r="E1017">
        <v>97.499142408370901</v>
      </c>
    </row>
    <row r="1018" spans="1:5" x14ac:dyDescent="0.25">
      <c r="A1018" t="s">
        <v>5</v>
      </c>
      <c r="B1018">
        <v>16</v>
      </c>
      <c r="C1018" s="1">
        <v>2.7777751286824498E-5</v>
      </c>
      <c r="D1018">
        <v>6960</v>
      </c>
      <c r="E1018">
        <v>167.397263765335</v>
      </c>
    </row>
    <row r="1019" spans="1:5" x14ac:dyDescent="0.25">
      <c r="A1019" t="s">
        <v>6</v>
      </c>
      <c r="B1019">
        <v>16</v>
      </c>
      <c r="C1019" s="1">
        <v>3.7036736806233697E-5</v>
      </c>
      <c r="D1019">
        <v>7002</v>
      </c>
      <c r="E1019">
        <v>99.472234249114905</v>
      </c>
    </row>
    <row r="1020" spans="1:5" x14ac:dyDescent="0.25">
      <c r="A1020" t="s">
        <v>5</v>
      </c>
      <c r="B1020">
        <v>17</v>
      </c>
      <c r="C1020" s="1">
        <v>4.6296119689941401E-5</v>
      </c>
      <c r="D1020">
        <v>6960</v>
      </c>
      <c r="E1020">
        <v>167.22790336608799</v>
      </c>
    </row>
    <row r="1021" spans="1:5" x14ac:dyDescent="0.25">
      <c r="A1021" t="s">
        <v>6</v>
      </c>
      <c r="B1021">
        <v>17</v>
      </c>
      <c r="C1021" s="1">
        <v>1.8518368403116801E-5</v>
      </c>
      <c r="D1021">
        <v>7002</v>
      </c>
      <c r="E1021">
        <v>97.885589599609304</v>
      </c>
    </row>
    <row r="1022" spans="1:5" x14ac:dyDescent="0.25">
      <c r="A1022" t="s">
        <v>5</v>
      </c>
      <c r="B1022">
        <v>0</v>
      </c>
      <c r="C1022">
        <v>0.18541662375132201</v>
      </c>
      <c r="D1022">
        <v>6960</v>
      </c>
      <c r="E1022">
        <v>112.132310390472</v>
      </c>
    </row>
    <row r="1023" spans="1:5" x14ac:dyDescent="0.25">
      <c r="A1023" t="s">
        <v>6</v>
      </c>
      <c r="B1023">
        <v>0</v>
      </c>
      <c r="C1023">
        <v>0.17983329017957</v>
      </c>
      <c r="D1023">
        <v>7002</v>
      </c>
      <c r="E1023">
        <v>63.670915603637603</v>
      </c>
    </row>
    <row r="1024" spans="1:5" x14ac:dyDescent="0.25">
      <c r="A1024" t="s">
        <v>5</v>
      </c>
      <c r="B1024">
        <v>1</v>
      </c>
      <c r="C1024">
        <v>0.165861069162686</v>
      </c>
      <c r="D1024">
        <v>6960</v>
      </c>
      <c r="E1024">
        <v>112.09914112091001</v>
      </c>
    </row>
    <row r="1025" spans="1:5" x14ac:dyDescent="0.25">
      <c r="A1025" t="s">
        <v>6</v>
      </c>
      <c r="B1025">
        <v>1</v>
      </c>
      <c r="C1025">
        <v>0.15847218096256199</v>
      </c>
      <c r="D1025">
        <v>7002</v>
      </c>
      <c r="E1025">
        <v>63.695038080215397</v>
      </c>
    </row>
    <row r="1026" spans="1:5" x14ac:dyDescent="0.25">
      <c r="A1026" t="s">
        <v>5</v>
      </c>
      <c r="B1026">
        <v>2</v>
      </c>
      <c r="C1026">
        <v>0.14022218088308899</v>
      </c>
      <c r="D1026">
        <v>6960</v>
      </c>
      <c r="E1026">
        <v>111.63141465187</v>
      </c>
    </row>
    <row r="1027" spans="1:5" x14ac:dyDescent="0.25">
      <c r="A1027" t="s">
        <v>6</v>
      </c>
      <c r="B1027">
        <v>2</v>
      </c>
      <c r="C1027">
        <v>0.13469440360863999</v>
      </c>
      <c r="D1027">
        <v>7002</v>
      </c>
      <c r="E1027">
        <v>63.670583248138399</v>
      </c>
    </row>
    <row r="1028" spans="1:5" x14ac:dyDescent="0.25">
      <c r="A1028" t="s">
        <v>5</v>
      </c>
      <c r="B1028">
        <v>3</v>
      </c>
      <c r="C1028">
        <v>0.123527738253275</v>
      </c>
      <c r="D1028">
        <v>6960</v>
      </c>
      <c r="E1028">
        <v>111.730619192123</v>
      </c>
    </row>
    <row r="1029" spans="1:5" x14ac:dyDescent="0.25">
      <c r="A1029" t="s">
        <v>6</v>
      </c>
      <c r="B1029">
        <v>3</v>
      </c>
      <c r="C1029">
        <v>0.10924995859464</v>
      </c>
      <c r="D1029">
        <v>7002</v>
      </c>
      <c r="E1029">
        <v>63.5373983383178</v>
      </c>
    </row>
    <row r="1030" spans="1:5" x14ac:dyDescent="0.25">
      <c r="A1030" t="s">
        <v>5</v>
      </c>
      <c r="B1030">
        <v>4</v>
      </c>
      <c r="C1030">
        <v>0.101555513342221</v>
      </c>
      <c r="D1030">
        <v>6960</v>
      </c>
      <c r="E1030">
        <v>112.16196918487501</v>
      </c>
    </row>
    <row r="1031" spans="1:5" x14ac:dyDescent="0.25">
      <c r="A1031" t="s">
        <v>6</v>
      </c>
      <c r="B1031">
        <v>4</v>
      </c>
      <c r="C1031">
        <v>8.4888844490051199E-2</v>
      </c>
      <c r="D1031">
        <v>7002</v>
      </c>
      <c r="E1031">
        <v>63.721828937530503</v>
      </c>
    </row>
    <row r="1032" spans="1:5" x14ac:dyDescent="0.25">
      <c r="A1032" t="s">
        <v>5</v>
      </c>
      <c r="B1032">
        <v>5</v>
      </c>
      <c r="C1032">
        <v>7.7222178975741004E-2</v>
      </c>
      <c r="D1032">
        <v>6960</v>
      </c>
      <c r="E1032">
        <v>111.19215440750099</v>
      </c>
    </row>
    <row r="1033" spans="1:5" x14ac:dyDescent="0.25">
      <c r="A1033" t="s">
        <v>6</v>
      </c>
      <c r="B1033">
        <v>5</v>
      </c>
      <c r="C1033">
        <v>6.7222179770469598E-2</v>
      </c>
      <c r="D1033">
        <v>7002</v>
      </c>
      <c r="E1033">
        <v>63.231680393218902</v>
      </c>
    </row>
    <row r="1034" spans="1:5" x14ac:dyDescent="0.25">
      <c r="A1034" t="s">
        <v>5</v>
      </c>
      <c r="B1034">
        <v>6</v>
      </c>
      <c r="C1034">
        <v>6.1277734041213901E-2</v>
      </c>
      <c r="D1034">
        <v>6960</v>
      </c>
      <c r="E1034">
        <v>111.74110841751001</v>
      </c>
    </row>
    <row r="1035" spans="1:5" x14ac:dyDescent="0.25">
      <c r="A1035" t="s">
        <v>6</v>
      </c>
      <c r="B1035">
        <v>6</v>
      </c>
      <c r="C1035">
        <v>4.8749959866205797E-2</v>
      </c>
      <c r="D1035">
        <v>7002</v>
      </c>
      <c r="E1035">
        <v>63.320706129074097</v>
      </c>
    </row>
    <row r="1036" spans="1:5" x14ac:dyDescent="0.25">
      <c r="A1036" t="s">
        <v>5</v>
      </c>
      <c r="B1036">
        <v>8</v>
      </c>
      <c r="C1036">
        <v>3.4027741551399197E-2</v>
      </c>
      <c r="D1036">
        <v>6960</v>
      </c>
      <c r="E1036">
        <v>111.698340654373</v>
      </c>
    </row>
    <row r="1037" spans="1:5" x14ac:dyDescent="0.25">
      <c r="A1037" t="s">
        <v>6</v>
      </c>
      <c r="B1037">
        <v>8</v>
      </c>
      <c r="C1037">
        <v>2.43888574838638E-2</v>
      </c>
      <c r="D1037">
        <v>7002</v>
      </c>
      <c r="E1037">
        <v>63.335493564605699</v>
      </c>
    </row>
    <row r="1038" spans="1:5" x14ac:dyDescent="0.25">
      <c r="A1038" t="s">
        <v>5</v>
      </c>
      <c r="B1038">
        <v>9</v>
      </c>
      <c r="C1038">
        <v>2.34999714295069E-2</v>
      </c>
      <c r="D1038">
        <v>6960</v>
      </c>
      <c r="E1038">
        <v>111.860401630401</v>
      </c>
    </row>
    <row r="1039" spans="1:5" x14ac:dyDescent="0.25">
      <c r="A1039" t="s">
        <v>6</v>
      </c>
      <c r="B1039">
        <v>9</v>
      </c>
      <c r="C1039">
        <v>1.4999974767367001E-2</v>
      </c>
      <c r="D1039">
        <v>7002</v>
      </c>
      <c r="E1039">
        <v>63.457457304000798</v>
      </c>
    </row>
    <row r="1040" spans="1:5" x14ac:dyDescent="0.25">
      <c r="A1040" t="s">
        <v>5</v>
      </c>
      <c r="B1040">
        <v>10</v>
      </c>
      <c r="C1040">
        <v>1.17499848206837E-2</v>
      </c>
      <c r="D1040">
        <v>6960</v>
      </c>
      <c r="E1040">
        <v>111.30299234390201</v>
      </c>
    </row>
    <row r="1041" spans="1:5" x14ac:dyDescent="0.25">
      <c r="A1041" t="s">
        <v>6</v>
      </c>
      <c r="B1041">
        <v>10</v>
      </c>
      <c r="C1041">
        <v>1.2222199638684501E-2</v>
      </c>
      <c r="D1041">
        <v>7002</v>
      </c>
      <c r="E1041">
        <v>63.636182546615601</v>
      </c>
    </row>
    <row r="1042" spans="1:5" x14ac:dyDescent="0.25">
      <c r="A1042" t="s">
        <v>5</v>
      </c>
      <c r="B1042">
        <v>11</v>
      </c>
      <c r="C1042">
        <v>4.8888808488845798E-3</v>
      </c>
      <c r="D1042">
        <v>6960</v>
      </c>
      <c r="E1042">
        <v>111.811915874481</v>
      </c>
    </row>
    <row r="1043" spans="1:5" x14ac:dyDescent="0.25">
      <c r="A1043" t="s">
        <v>6</v>
      </c>
      <c r="B1043">
        <v>11</v>
      </c>
      <c r="C1043">
        <v>5.4166571299235E-3</v>
      </c>
      <c r="D1043">
        <v>7002</v>
      </c>
      <c r="E1043">
        <v>63.6053147315979</v>
      </c>
    </row>
    <row r="1044" spans="1:5" x14ac:dyDescent="0.25">
      <c r="A1044" t="s">
        <v>5</v>
      </c>
      <c r="B1044">
        <v>12</v>
      </c>
      <c r="C1044">
        <v>1.7083261410395299E-3</v>
      </c>
      <c r="D1044">
        <v>6960</v>
      </c>
      <c r="E1044">
        <v>128.844670534133</v>
      </c>
    </row>
    <row r="1045" spans="1:5" x14ac:dyDescent="0.25">
      <c r="A1045" t="s">
        <v>6</v>
      </c>
      <c r="B1045">
        <v>12</v>
      </c>
      <c r="C1045">
        <v>2.0416557788848801E-3</v>
      </c>
      <c r="D1045">
        <v>7002</v>
      </c>
      <c r="E1045">
        <v>81.937681436538696</v>
      </c>
    </row>
    <row r="1046" spans="1:5" x14ac:dyDescent="0.25">
      <c r="A1046" t="s">
        <v>5</v>
      </c>
      <c r="B1046">
        <v>13</v>
      </c>
      <c r="C1046">
        <v>9.1666221618652295E-4</v>
      </c>
      <c r="D1046">
        <v>6960</v>
      </c>
      <c r="E1046">
        <v>127.66689157485899</v>
      </c>
    </row>
    <row r="1047" spans="1:5" x14ac:dyDescent="0.25">
      <c r="A1047" t="s">
        <v>6</v>
      </c>
      <c r="B1047">
        <v>13</v>
      </c>
      <c r="C1047">
        <v>7.9166213671366301E-4</v>
      </c>
      <c r="D1047">
        <v>7002</v>
      </c>
      <c r="E1047">
        <v>82.118144750594993</v>
      </c>
    </row>
    <row r="1048" spans="1:5" x14ac:dyDescent="0.25">
      <c r="A1048" t="s">
        <v>5</v>
      </c>
      <c r="B1048">
        <v>14</v>
      </c>
      <c r="C1048">
        <v>1.94443861643473E-4</v>
      </c>
      <c r="D1048">
        <v>6960</v>
      </c>
      <c r="E1048">
        <v>181.80546712875301</v>
      </c>
    </row>
    <row r="1049" spans="1:5" x14ac:dyDescent="0.25">
      <c r="A1049" t="s">
        <v>6</v>
      </c>
      <c r="B1049">
        <v>14</v>
      </c>
      <c r="C1049">
        <v>2.40739583969116E-4</v>
      </c>
      <c r="D1049">
        <v>7002</v>
      </c>
      <c r="E1049">
        <v>98.207078933715806</v>
      </c>
    </row>
    <row r="1050" spans="1:5" x14ac:dyDescent="0.25">
      <c r="A1050" t="s">
        <v>5</v>
      </c>
      <c r="B1050">
        <v>15</v>
      </c>
      <c r="C1050">
        <v>1.6666650772094701E-4</v>
      </c>
      <c r="D1050">
        <v>6960</v>
      </c>
      <c r="E1050">
        <v>169.29637837409899</v>
      </c>
    </row>
    <row r="1051" spans="1:5" x14ac:dyDescent="0.25">
      <c r="A1051" t="s">
        <v>6</v>
      </c>
      <c r="B1051">
        <v>15</v>
      </c>
      <c r="C1051">
        <v>1.38888160387674E-4</v>
      </c>
      <c r="D1051">
        <v>7002</v>
      </c>
      <c r="E1051">
        <v>97.894986152648897</v>
      </c>
    </row>
    <row r="1052" spans="1:5" x14ac:dyDescent="0.25">
      <c r="A1052" t="s">
        <v>5</v>
      </c>
      <c r="B1052">
        <v>16</v>
      </c>
      <c r="C1052">
        <v>1.1111100514729799E-4</v>
      </c>
      <c r="D1052">
        <v>6960</v>
      </c>
      <c r="E1052">
        <v>165.59770369529701</v>
      </c>
    </row>
    <row r="1053" spans="1:5" x14ac:dyDescent="0.25">
      <c r="A1053" t="s">
        <v>6</v>
      </c>
      <c r="B1053">
        <v>16</v>
      </c>
      <c r="C1053" s="1">
        <v>5.5555105209350501E-5</v>
      </c>
      <c r="D1053">
        <v>7002</v>
      </c>
      <c r="E1053">
        <v>97.913970470428396</v>
      </c>
    </row>
    <row r="1054" spans="1:5" x14ac:dyDescent="0.25">
      <c r="A1054" t="s">
        <v>5</v>
      </c>
      <c r="B1054">
        <v>17</v>
      </c>
      <c r="C1054" s="1">
        <v>1.8518368403116801E-5</v>
      </c>
      <c r="D1054">
        <v>6960</v>
      </c>
      <c r="E1054">
        <v>165.67289185523899</v>
      </c>
    </row>
    <row r="1055" spans="1:5" x14ac:dyDescent="0.25">
      <c r="A1055" t="s">
        <v>6</v>
      </c>
      <c r="B1055">
        <v>17</v>
      </c>
      <c r="C1055">
        <v>0</v>
      </c>
      <c r="D1055">
        <v>7002</v>
      </c>
      <c r="E1055">
        <v>97.595982551574707</v>
      </c>
    </row>
    <row r="1056" spans="1:5" x14ac:dyDescent="0.25">
      <c r="A1056" t="s">
        <v>5</v>
      </c>
      <c r="B1056">
        <v>0</v>
      </c>
      <c r="C1056">
        <v>0.18738884647687201</v>
      </c>
      <c r="D1056">
        <v>6960</v>
      </c>
      <c r="E1056">
        <v>112.094810962677</v>
      </c>
    </row>
    <row r="1057" spans="1:5" x14ac:dyDescent="0.25">
      <c r="A1057" t="s">
        <v>6</v>
      </c>
      <c r="B1057">
        <v>0</v>
      </c>
      <c r="C1057">
        <v>0.18172218163808099</v>
      </c>
      <c r="D1057">
        <v>7002</v>
      </c>
      <c r="E1057">
        <v>63.4894952774047</v>
      </c>
    </row>
    <row r="1058" spans="1:5" x14ac:dyDescent="0.25">
      <c r="A1058" t="s">
        <v>5</v>
      </c>
      <c r="B1058">
        <v>1</v>
      </c>
      <c r="C1058">
        <v>0.16272218128045399</v>
      </c>
      <c r="D1058">
        <v>6960</v>
      </c>
      <c r="E1058">
        <v>111.65437507629299</v>
      </c>
    </row>
    <row r="1059" spans="1:5" x14ac:dyDescent="0.25">
      <c r="A1059" t="s">
        <v>6</v>
      </c>
      <c r="B1059">
        <v>1</v>
      </c>
      <c r="C1059">
        <v>0.157305513819058</v>
      </c>
      <c r="D1059">
        <v>7002</v>
      </c>
      <c r="E1059">
        <v>64.005888700485201</v>
      </c>
    </row>
    <row r="1060" spans="1:5" x14ac:dyDescent="0.25">
      <c r="A1060" t="s">
        <v>5</v>
      </c>
      <c r="B1060">
        <v>2</v>
      </c>
      <c r="C1060">
        <v>0.143777736624081</v>
      </c>
      <c r="D1060">
        <v>6960</v>
      </c>
      <c r="E1060">
        <v>113.583781480789</v>
      </c>
    </row>
    <row r="1061" spans="1:5" x14ac:dyDescent="0.25">
      <c r="A1061" t="s">
        <v>6</v>
      </c>
      <c r="B1061">
        <v>2</v>
      </c>
      <c r="C1061">
        <v>0.133999959429105</v>
      </c>
      <c r="D1061">
        <v>7002</v>
      </c>
      <c r="E1061">
        <v>63.621644973754798</v>
      </c>
    </row>
    <row r="1062" spans="1:5" x14ac:dyDescent="0.25">
      <c r="A1062" t="s">
        <v>5</v>
      </c>
      <c r="B1062">
        <v>3</v>
      </c>
      <c r="C1062">
        <v>0.116944403847058</v>
      </c>
      <c r="D1062">
        <v>6960</v>
      </c>
      <c r="E1062">
        <v>111.369188547134</v>
      </c>
    </row>
    <row r="1063" spans="1:5" x14ac:dyDescent="0.25">
      <c r="A1063" t="s">
        <v>6</v>
      </c>
      <c r="B1063">
        <v>3</v>
      </c>
      <c r="C1063">
        <v>0.109111068646113</v>
      </c>
      <c r="D1063">
        <v>7002</v>
      </c>
      <c r="E1063">
        <v>63.870924472808802</v>
      </c>
    </row>
    <row r="1064" spans="1:5" x14ac:dyDescent="0.25">
      <c r="A1064" t="s">
        <v>5</v>
      </c>
      <c r="B1064">
        <v>4</v>
      </c>
      <c r="C1064">
        <v>9.8166624108950301E-2</v>
      </c>
      <c r="D1064">
        <v>6960</v>
      </c>
      <c r="E1064">
        <v>111.578466176986</v>
      </c>
    </row>
    <row r="1065" spans="1:5" x14ac:dyDescent="0.25">
      <c r="A1065" t="s">
        <v>6</v>
      </c>
      <c r="B1065">
        <v>4</v>
      </c>
      <c r="C1065">
        <v>8.7277734676996802E-2</v>
      </c>
      <c r="D1065">
        <v>7002</v>
      </c>
      <c r="E1065">
        <v>63.4542171955108</v>
      </c>
    </row>
    <row r="1066" spans="1:5" x14ac:dyDescent="0.25">
      <c r="A1066" t="s">
        <v>5</v>
      </c>
      <c r="B1066">
        <v>5</v>
      </c>
      <c r="C1066">
        <v>8.0222178498903896E-2</v>
      </c>
      <c r="D1066">
        <v>6960</v>
      </c>
      <c r="E1066">
        <v>111.316139459609</v>
      </c>
    </row>
    <row r="1067" spans="1:5" x14ac:dyDescent="0.25">
      <c r="A1067" t="s">
        <v>6</v>
      </c>
      <c r="B1067">
        <v>5</v>
      </c>
      <c r="C1067">
        <v>6.67221788565317E-2</v>
      </c>
      <c r="D1067">
        <v>7002</v>
      </c>
      <c r="E1067">
        <v>63.8365221023559</v>
      </c>
    </row>
    <row r="1068" spans="1:5" x14ac:dyDescent="0.25">
      <c r="A1068" t="s">
        <v>5</v>
      </c>
      <c r="B1068">
        <v>6</v>
      </c>
      <c r="C1068">
        <v>6.3944400946299204E-2</v>
      </c>
      <c r="D1068">
        <v>6960</v>
      </c>
      <c r="E1068">
        <v>111.54595947265599</v>
      </c>
    </row>
    <row r="1069" spans="1:5" x14ac:dyDescent="0.25">
      <c r="A1069" t="s">
        <v>6</v>
      </c>
      <c r="B1069">
        <v>6</v>
      </c>
      <c r="C1069">
        <v>4.7444404959678603E-2</v>
      </c>
      <c r="D1069">
        <v>7002</v>
      </c>
      <c r="E1069">
        <v>63.3375113010406</v>
      </c>
    </row>
    <row r="1070" spans="1:5" x14ac:dyDescent="0.25">
      <c r="A1070" t="s">
        <v>5</v>
      </c>
      <c r="B1070">
        <v>8</v>
      </c>
      <c r="C1070">
        <v>3.39999634027481E-2</v>
      </c>
      <c r="D1070">
        <v>6960</v>
      </c>
      <c r="E1070">
        <v>111.85929942131</v>
      </c>
    </row>
    <row r="1071" spans="1:5" x14ac:dyDescent="0.25">
      <c r="A1071" t="s">
        <v>6</v>
      </c>
      <c r="B1071">
        <v>8</v>
      </c>
      <c r="C1071">
        <v>2.2333302895227999E-2</v>
      </c>
      <c r="D1071">
        <v>7002</v>
      </c>
      <c r="E1071">
        <v>63.637580394744802</v>
      </c>
    </row>
    <row r="1072" spans="1:5" x14ac:dyDescent="0.25">
      <c r="A1072" t="s">
        <v>5</v>
      </c>
      <c r="B1072">
        <v>9</v>
      </c>
      <c r="C1072">
        <v>2.4166639248529999E-2</v>
      </c>
      <c r="D1072">
        <v>6960</v>
      </c>
      <c r="E1072">
        <v>111.665513992309</v>
      </c>
    </row>
    <row r="1073" spans="1:5" x14ac:dyDescent="0.25">
      <c r="A1073" t="s">
        <v>6</v>
      </c>
      <c r="B1073">
        <v>9</v>
      </c>
      <c r="C1073">
        <v>1.52221971750259E-2</v>
      </c>
      <c r="D1073">
        <v>7002</v>
      </c>
      <c r="E1073">
        <v>63.521907567977898</v>
      </c>
    </row>
    <row r="1074" spans="1:5" x14ac:dyDescent="0.25">
      <c r="A1074" t="s">
        <v>5</v>
      </c>
      <c r="B1074">
        <v>10</v>
      </c>
      <c r="C1074">
        <v>1.4833315213521299E-2</v>
      </c>
      <c r="D1074">
        <v>6960</v>
      </c>
      <c r="E1074">
        <v>111.91190314292901</v>
      </c>
    </row>
    <row r="1075" spans="1:5" x14ac:dyDescent="0.25">
      <c r="A1075" t="s">
        <v>6</v>
      </c>
      <c r="B1075">
        <v>10</v>
      </c>
      <c r="C1075">
        <v>1.06110914548238E-2</v>
      </c>
      <c r="D1075">
        <v>7002</v>
      </c>
      <c r="E1075">
        <v>63.671949625015202</v>
      </c>
    </row>
    <row r="1076" spans="1:5" x14ac:dyDescent="0.25">
      <c r="A1076" t="s">
        <v>5</v>
      </c>
      <c r="B1076">
        <v>11</v>
      </c>
      <c r="C1076">
        <v>7.4166562159856102E-3</v>
      </c>
      <c r="D1076">
        <v>6960</v>
      </c>
      <c r="E1076">
        <v>111.226325035095</v>
      </c>
    </row>
    <row r="1077" spans="1:5" x14ac:dyDescent="0.25">
      <c r="A1077" t="s">
        <v>6</v>
      </c>
      <c r="B1077">
        <v>11</v>
      </c>
      <c r="C1077">
        <v>4.4722145795822099E-3</v>
      </c>
      <c r="D1077">
        <v>7002</v>
      </c>
      <c r="E1077">
        <v>63.773012399673398</v>
      </c>
    </row>
    <row r="1078" spans="1:5" x14ac:dyDescent="0.25">
      <c r="A1078" t="s">
        <v>5</v>
      </c>
      <c r="B1078">
        <v>12</v>
      </c>
      <c r="C1078">
        <v>2.2638795773188198E-3</v>
      </c>
      <c r="D1078">
        <v>6960</v>
      </c>
      <c r="E1078">
        <v>127.754061222076</v>
      </c>
    </row>
    <row r="1079" spans="1:5" x14ac:dyDescent="0.25">
      <c r="A1079" t="s">
        <v>6</v>
      </c>
      <c r="B1079">
        <v>12</v>
      </c>
      <c r="C1079">
        <v>2.6944337288538601E-3</v>
      </c>
      <c r="D1079">
        <v>7002</v>
      </c>
      <c r="E1079">
        <v>81.954213619232107</v>
      </c>
    </row>
    <row r="1080" spans="1:5" x14ac:dyDescent="0.25">
      <c r="A1080" t="s">
        <v>5</v>
      </c>
      <c r="B1080">
        <v>13</v>
      </c>
      <c r="C1080">
        <v>9.0277393658955802E-4</v>
      </c>
      <c r="D1080">
        <v>6960</v>
      </c>
      <c r="E1080">
        <v>127.727559328079</v>
      </c>
    </row>
    <row r="1081" spans="1:5" x14ac:dyDescent="0.25">
      <c r="A1081" t="s">
        <v>6</v>
      </c>
      <c r="B1081">
        <v>13</v>
      </c>
      <c r="C1081">
        <v>1.0972166061401301E-3</v>
      </c>
      <c r="D1081">
        <v>7002</v>
      </c>
      <c r="E1081">
        <v>81.964781284332204</v>
      </c>
    </row>
    <row r="1082" spans="1:5" x14ac:dyDescent="0.25">
      <c r="A1082" t="s">
        <v>5</v>
      </c>
      <c r="B1082">
        <v>14</v>
      </c>
      <c r="C1082">
        <v>3.4259180227915403E-4</v>
      </c>
      <c r="D1082">
        <v>6960</v>
      </c>
      <c r="E1082">
        <v>168.574792146682</v>
      </c>
    </row>
    <row r="1083" spans="1:5" x14ac:dyDescent="0.25">
      <c r="A1083" t="s">
        <v>6</v>
      </c>
      <c r="B1083">
        <v>14</v>
      </c>
      <c r="C1083">
        <v>3.9814631144205698E-4</v>
      </c>
      <c r="D1083">
        <v>7002</v>
      </c>
      <c r="E1083">
        <v>99.198083400726304</v>
      </c>
    </row>
    <row r="1084" spans="1:5" x14ac:dyDescent="0.25">
      <c r="A1084" t="s">
        <v>5</v>
      </c>
      <c r="B1084">
        <v>15</v>
      </c>
      <c r="C1084">
        <v>2.0370344320933001E-4</v>
      </c>
      <c r="D1084">
        <v>6960</v>
      </c>
      <c r="E1084">
        <v>165.07311081886201</v>
      </c>
    </row>
    <row r="1085" spans="1:5" x14ac:dyDescent="0.25">
      <c r="A1085" t="s">
        <v>6</v>
      </c>
      <c r="B1085">
        <v>15</v>
      </c>
      <c r="C1085" s="1">
        <v>9.2592239379882802E-5</v>
      </c>
      <c r="D1085">
        <v>7002</v>
      </c>
      <c r="E1085">
        <v>98.113754510879502</v>
      </c>
    </row>
    <row r="1086" spans="1:5" x14ac:dyDescent="0.25">
      <c r="A1086" t="s">
        <v>5</v>
      </c>
      <c r="B1086">
        <v>16</v>
      </c>
      <c r="C1086" s="1">
        <v>8.33332538604736E-5</v>
      </c>
      <c r="D1086">
        <v>6960</v>
      </c>
      <c r="E1086">
        <v>165.218469381332</v>
      </c>
    </row>
    <row r="1087" spans="1:5" x14ac:dyDescent="0.25">
      <c r="A1087" t="s">
        <v>6</v>
      </c>
      <c r="B1087">
        <v>16</v>
      </c>
      <c r="C1087" s="1">
        <v>7.4073672294616699E-5</v>
      </c>
      <c r="D1087">
        <v>7002</v>
      </c>
      <c r="E1087">
        <v>98.044978618621798</v>
      </c>
    </row>
    <row r="1088" spans="1:5" x14ac:dyDescent="0.25">
      <c r="A1088" t="s">
        <v>5</v>
      </c>
      <c r="B1088">
        <v>17</v>
      </c>
      <c r="C1088">
        <v>0</v>
      </c>
      <c r="D1088">
        <v>6960</v>
      </c>
      <c r="E1088">
        <v>165.07094407081601</v>
      </c>
    </row>
    <row r="1089" spans="1:5" x14ac:dyDescent="0.25">
      <c r="A1089" t="s">
        <v>6</v>
      </c>
      <c r="B1089">
        <v>17</v>
      </c>
      <c r="C1089">
        <v>0</v>
      </c>
      <c r="D1089">
        <v>7002</v>
      </c>
      <c r="E1089">
        <v>97.688832759857107</v>
      </c>
    </row>
    <row r="1090" spans="1:5" x14ac:dyDescent="0.25">
      <c r="A1090" t="s">
        <v>5</v>
      </c>
      <c r="B1090">
        <v>0</v>
      </c>
      <c r="C1090">
        <v>0.18572218000888799</v>
      </c>
      <c r="D1090">
        <v>6960</v>
      </c>
      <c r="E1090">
        <v>111.89111661910999</v>
      </c>
    </row>
    <row r="1091" spans="1:5" x14ac:dyDescent="0.25">
      <c r="A1091" t="s">
        <v>6</v>
      </c>
      <c r="B1091">
        <v>0</v>
      </c>
      <c r="C1091">
        <v>0.180444403092066</v>
      </c>
      <c r="D1091">
        <v>7002</v>
      </c>
      <c r="E1091">
        <v>63.570883274078298</v>
      </c>
    </row>
    <row r="1092" spans="1:5" x14ac:dyDescent="0.25">
      <c r="A1092" t="s">
        <v>5</v>
      </c>
      <c r="B1092">
        <v>1</v>
      </c>
      <c r="C1092">
        <v>0.16255551377932201</v>
      </c>
      <c r="D1092">
        <v>6960</v>
      </c>
      <c r="E1092">
        <v>110.9274456501</v>
      </c>
    </row>
    <row r="1093" spans="1:5" x14ac:dyDescent="0.25">
      <c r="A1093" t="s">
        <v>6</v>
      </c>
      <c r="B1093">
        <v>1</v>
      </c>
      <c r="C1093">
        <v>0.15905551373958501</v>
      </c>
      <c r="D1093">
        <v>7002</v>
      </c>
      <c r="E1093">
        <v>63.405192613601599</v>
      </c>
    </row>
    <row r="1094" spans="1:5" x14ac:dyDescent="0.25">
      <c r="A1094" t="s">
        <v>5</v>
      </c>
      <c r="B1094">
        <v>2</v>
      </c>
      <c r="C1094">
        <v>0.14108329157034499</v>
      </c>
      <c r="D1094">
        <v>6960</v>
      </c>
      <c r="E1094">
        <v>111.685572624206</v>
      </c>
    </row>
    <row r="1095" spans="1:5" x14ac:dyDescent="0.25">
      <c r="A1095" t="s">
        <v>6</v>
      </c>
      <c r="B1095">
        <v>2</v>
      </c>
      <c r="C1095">
        <v>0.132222181359926</v>
      </c>
      <c r="D1095">
        <v>7002</v>
      </c>
      <c r="E1095">
        <v>63.505206346511798</v>
      </c>
    </row>
    <row r="1096" spans="1:5" x14ac:dyDescent="0.25">
      <c r="A1096" t="s">
        <v>5</v>
      </c>
      <c r="B1096">
        <v>3</v>
      </c>
      <c r="C1096">
        <v>0.11824995934963201</v>
      </c>
      <c r="D1096">
        <v>6960</v>
      </c>
      <c r="E1096">
        <v>112.019163608551</v>
      </c>
    </row>
    <row r="1097" spans="1:5" x14ac:dyDescent="0.25">
      <c r="A1097" t="s">
        <v>6</v>
      </c>
      <c r="B1097">
        <v>3</v>
      </c>
      <c r="C1097">
        <v>0.10888884663581801</v>
      </c>
      <c r="D1097">
        <v>7002</v>
      </c>
      <c r="E1097">
        <v>63.737685441970797</v>
      </c>
    </row>
    <row r="1098" spans="1:5" x14ac:dyDescent="0.25">
      <c r="A1098" t="s">
        <v>5</v>
      </c>
      <c r="B1098">
        <v>4</v>
      </c>
      <c r="C1098">
        <v>9.9416623711585994E-2</v>
      </c>
      <c r="D1098">
        <v>6960</v>
      </c>
      <c r="E1098">
        <v>111.818659305572</v>
      </c>
    </row>
    <row r="1099" spans="1:5" x14ac:dyDescent="0.25">
      <c r="A1099" t="s">
        <v>6</v>
      </c>
      <c r="B1099">
        <v>4</v>
      </c>
      <c r="C1099">
        <v>8.7583289742469705E-2</v>
      </c>
      <c r="D1099">
        <v>7002</v>
      </c>
      <c r="E1099">
        <v>63.455098152160602</v>
      </c>
    </row>
    <row r="1100" spans="1:5" x14ac:dyDescent="0.25">
      <c r="A1100" t="s">
        <v>5</v>
      </c>
      <c r="B1100">
        <v>5</v>
      </c>
      <c r="C1100">
        <v>8.0222179492314596E-2</v>
      </c>
      <c r="D1100">
        <v>6960</v>
      </c>
      <c r="E1100">
        <v>111.89562559127801</v>
      </c>
    </row>
    <row r="1101" spans="1:5" x14ac:dyDescent="0.25">
      <c r="A1101" t="s">
        <v>6</v>
      </c>
      <c r="B1101">
        <v>5</v>
      </c>
      <c r="C1101">
        <v>6.4944401780764202E-2</v>
      </c>
      <c r="D1101">
        <v>7002</v>
      </c>
      <c r="E1101">
        <v>63.470686674117999</v>
      </c>
    </row>
    <row r="1102" spans="1:5" x14ac:dyDescent="0.25">
      <c r="A1102" t="s">
        <v>5</v>
      </c>
      <c r="B1102">
        <v>6</v>
      </c>
      <c r="C1102">
        <v>6.63332897424697E-2</v>
      </c>
      <c r="D1102">
        <v>6960</v>
      </c>
      <c r="E1102">
        <v>111.033528327941</v>
      </c>
    </row>
    <row r="1103" spans="1:5" x14ac:dyDescent="0.25">
      <c r="A1103" t="s">
        <v>6</v>
      </c>
      <c r="B1103">
        <v>6</v>
      </c>
      <c r="C1103">
        <v>4.9166626930236802E-2</v>
      </c>
      <c r="D1103">
        <v>7002</v>
      </c>
      <c r="E1103">
        <v>63.427287340164099</v>
      </c>
    </row>
    <row r="1104" spans="1:5" x14ac:dyDescent="0.25">
      <c r="A1104" t="s">
        <v>5</v>
      </c>
      <c r="B1104">
        <v>8</v>
      </c>
      <c r="C1104">
        <v>3.3194410204887302E-2</v>
      </c>
      <c r="D1104">
        <v>6960</v>
      </c>
      <c r="E1104">
        <v>112.417176008224</v>
      </c>
    </row>
    <row r="1105" spans="1:5" x14ac:dyDescent="0.25">
      <c r="A1105" t="s">
        <v>6</v>
      </c>
      <c r="B1105">
        <v>8</v>
      </c>
      <c r="C1105">
        <v>2.3333304325739501E-2</v>
      </c>
      <c r="D1105">
        <v>7002</v>
      </c>
      <c r="E1105">
        <v>63.496971130371001</v>
      </c>
    </row>
    <row r="1106" spans="1:5" x14ac:dyDescent="0.25">
      <c r="A1106" t="s">
        <v>5</v>
      </c>
      <c r="B1106">
        <v>9</v>
      </c>
      <c r="C1106">
        <v>2.1916641592979399E-2</v>
      </c>
      <c r="D1106">
        <v>6960</v>
      </c>
      <c r="E1106">
        <v>110.936564922332</v>
      </c>
    </row>
    <row r="1107" spans="1:5" x14ac:dyDescent="0.25">
      <c r="A1107" t="s">
        <v>6</v>
      </c>
      <c r="B1107">
        <v>9</v>
      </c>
      <c r="C1107">
        <v>1.4055534203847199E-2</v>
      </c>
      <c r="D1107">
        <v>7002</v>
      </c>
      <c r="E1107">
        <v>63.722044706344597</v>
      </c>
    </row>
    <row r="1108" spans="1:5" x14ac:dyDescent="0.25">
      <c r="A1108" t="s">
        <v>5</v>
      </c>
      <c r="B1108">
        <v>10</v>
      </c>
      <c r="C1108">
        <v>1.2138873338699299E-2</v>
      </c>
      <c r="D1108">
        <v>6960</v>
      </c>
      <c r="E1108">
        <v>111.525035858154</v>
      </c>
    </row>
    <row r="1109" spans="1:5" x14ac:dyDescent="0.25">
      <c r="A1109" t="s">
        <v>6</v>
      </c>
      <c r="B1109">
        <v>10</v>
      </c>
      <c r="C1109">
        <v>1.0416648586591E-2</v>
      </c>
      <c r="D1109">
        <v>7002</v>
      </c>
      <c r="E1109">
        <v>63.439498424530001</v>
      </c>
    </row>
    <row r="1110" spans="1:5" x14ac:dyDescent="0.25">
      <c r="A1110" t="s">
        <v>5</v>
      </c>
      <c r="B1110">
        <v>11</v>
      </c>
      <c r="C1110">
        <v>5.80554763476053E-3</v>
      </c>
      <c r="D1110">
        <v>6960</v>
      </c>
      <c r="E1110">
        <v>111.322943925857</v>
      </c>
    </row>
    <row r="1111" spans="1:5" x14ac:dyDescent="0.25">
      <c r="A1111" t="s">
        <v>6</v>
      </c>
      <c r="B1111">
        <v>11</v>
      </c>
      <c r="C1111">
        <v>6.9722090164820302E-3</v>
      </c>
      <c r="D1111">
        <v>7002</v>
      </c>
      <c r="E1111">
        <v>63.5064923763275</v>
      </c>
    </row>
    <row r="1112" spans="1:5" x14ac:dyDescent="0.25">
      <c r="A1112" t="s">
        <v>5</v>
      </c>
      <c r="B1112">
        <v>12</v>
      </c>
      <c r="C1112">
        <v>1.9999927282333299E-3</v>
      </c>
      <c r="D1112">
        <v>6960</v>
      </c>
      <c r="E1112">
        <v>127.903784036636</v>
      </c>
    </row>
    <row r="1113" spans="1:5" x14ac:dyDescent="0.25">
      <c r="A1113" t="s">
        <v>6</v>
      </c>
      <c r="B1113">
        <v>12</v>
      </c>
      <c r="C1113">
        <v>2.68054246902465E-3</v>
      </c>
      <c r="D1113">
        <v>7002</v>
      </c>
      <c r="E1113">
        <v>81.772055864334106</v>
      </c>
    </row>
    <row r="1114" spans="1:5" x14ac:dyDescent="0.25">
      <c r="A1114" t="s">
        <v>5</v>
      </c>
      <c r="B1114">
        <v>13</v>
      </c>
      <c r="C1114">
        <v>1.26388370990753E-3</v>
      </c>
      <c r="D1114">
        <v>6960</v>
      </c>
      <c r="E1114">
        <v>127.311143875122</v>
      </c>
    </row>
    <row r="1115" spans="1:5" x14ac:dyDescent="0.25">
      <c r="A1115" t="s">
        <v>6</v>
      </c>
      <c r="B1115">
        <v>13</v>
      </c>
      <c r="C1115">
        <v>2.2638785839080799E-3</v>
      </c>
      <c r="D1115">
        <v>7002</v>
      </c>
      <c r="E1115">
        <v>82.021220207214299</v>
      </c>
    </row>
    <row r="1116" spans="1:5" x14ac:dyDescent="0.25">
      <c r="A1116" t="s">
        <v>5</v>
      </c>
      <c r="B1116">
        <v>14</v>
      </c>
      <c r="C1116">
        <v>4.16665275891621E-4</v>
      </c>
      <c r="D1116">
        <v>6960</v>
      </c>
      <c r="E1116">
        <v>171.99107623100201</v>
      </c>
    </row>
    <row r="1117" spans="1:5" x14ac:dyDescent="0.25">
      <c r="A1117" t="s">
        <v>6</v>
      </c>
      <c r="B1117">
        <v>14</v>
      </c>
      <c r="C1117">
        <v>6.0184975465138696E-4</v>
      </c>
      <c r="D1117">
        <v>7002</v>
      </c>
      <c r="E1117">
        <v>98.230277061462402</v>
      </c>
    </row>
    <row r="1118" spans="1:5" x14ac:dyDescent="0.25">
      <c r="A1118" t="s">
        <v>5</v>
      </c>
      <c r="B1118">
        <v>15</v>
      </c>
      <c r="C1118" s="1">
        <v>5.5555502573648997E-5</v>
      </c>
      <c r="D1118">
        <v>6960</v>
      </c>
      <c r="E1118">
        <v>166.76470303535399</v>
      </c>
    </row>
    <row r="1119" spans="1:5" x14ac:dyDescent="0.25">
      <c r="A1119" t="s">
        <v>6</v>
      </c>
      <c r="B1119">
        <v>15</v>
      </c>
      <c r="C1119">
        <v>1.2962937355041499E-4</v>
      </c>
      <c r="D1119">
        <v>7002</v>
      </c>
      <c r="E1119">
        <v>98.591928958892794</v>
      </c>
    </row>
    <row r="1120" spans="1:5" x14ac:dyDescent="0.25">
      <c r="A1120" t="s">
        <v>5</v>
      </c>
      <c r="B1120">
        <v>16</v>
      </c>
      <c r="C1120" s="1">
        <v>6.4814686775207497E-5</v>
      </c>
      <c r="D1120">
        <v>6960</v>
      </c>
      <c r="E1120">
        <v>166.01533508300699</v>
      </c>
    </row>
    <row r="1121" spans="1:5" x14ac:dyDescent="0.25">
      <c r="A1121" t="s">
        <v>6</v>
      </c>
      <c r="B1121">
        <v>16</v>
      </c>
      <c r="C1121" s="1">
        <v>4.6296119689941401E-5</v>
      </c>
      <c r="D1121">
        <v>7002</v>
      </c>
      <c r="E1121">
        <v>97.808346033096299</v>
      </c>
    </row>
    <row r="1122" spans="1:5" x14ac:dyDescent="0.25">
      <c r="A1122" t="s">
        <v>5</v>
      </c>
      <c r="B1122">
        <v>17</v>
      </c>
      <c r="C1122" s="1">
        <v>3.7036935488382901E-5</v>
      </c>
      <c r="D1122">
        <v>6960</v>
      </c>
      <c r="E1122">
        <v>166.14033412933301</v>
      </c>
    </row>
    <row r="1123" spans="1:5" x14ac:dyDescent="0.25">
      <c r="A1123" t="s">
        <v>6</v>
      </c>
      <c r="B1123">
        <v>17</v>
      </c>
      <c r="C1123" s="1">
        <v>2.7777751286824498E-5</v>
      </c>
      <c r="D1123">
        <v>7002</v>
      </c>
      <c r="E1123">
        <v>98.136332273483205</v>
      </c>
    </row>
    <row r="1124" spans="1:5" x14ac:dyDescent="0.25">
      <c r="A1124" t="s">
        <v>5</v>
      </c>
      <c r="B1124">
        <v>0</v>
      </c>
      <c r="C1124">
        <v>0.18736106971899599</v>
      </c>
      <c r="D1124">
        <v>6960</v>
      </c>
      <c r="E1124">
        <v>111.968856811523</v>
      </c>
    </row>
    <row r="1125" spans="1:5" x14ac:dyDescent="0.25">
      <c r="A1125" t="s">
        <v>6</v>
      </c>
      <c r="B1125">
        <v>0</v>
      </c>
      <c r="C1125">
        <v>0.180777736902236</v>
      </c>
      <c r="D1125">
        <v>7002</v>
      </c>
      <c r="E1125">
        <v>63.8886716365814</v>
      </c>
    </row>
    <row r="1126" spans="1:5" x14ac:dyDescent="0.25">
      <c r="A1126" t="s">
        <v>5</v>
      </c>
      <c r="B1126">
        <v>1</v>
      </c>
      <c r="C1126">
        <v>0.16249995748202001</v>
      </c>
      <c r="D1126">
        <v>6960</v>
      </c>
      <c r="E1126">
        <v>111.50348162650999</v>
      </c>
    </row>
    <row r="1127" spans="1:5" x14ac:dyDescent="0.25">
      <c r="A1127" t="s">
        <v>6</v>
      </c>
      <c r="B1127">
        <v>1</v>
      </c>
      <c r="C1127">
        <v>0.15563884894053101</v>
      </c>
      <c r="D1127">
        <v>7002</v>
      </c>
      <c r="E1127">
        <v>63.8532807826995</v>
      </c>
    </row>
    <row r="1128" spans="1:5" x14ac:dyDescent="0.25">
      <c r="A1128" t="s">
        <v>5</v>
      </c>
      <c r="B1128">
        <v>2</v>
      </c>
      <c r="C1128">
        <v>0.140388848781585</v>
      </c>
      <c r="D1128">
        <v>6960</v>
      </c>
      <c r="E1128">
        <v>112.18865942955</v>
      </c>
    </row>
    <row r="1129" spans="1:5" x14ac:dyDescent="0.25">
      <c r="A1129" t="s">
        <v>6</v>
      </c>
      <c r="B1129">
        <v>2</v>
      </c>
      <c r="C1129">
        <v>0.134749959309895</v>
      </c>
      <c r="D1129">
        <v>7002</v>
      </c>
      <c r="E1129">
        <v>63.889503240585299</v>
      </c>
    </row>
    <row r="1130" spans="1:5" x14ac:dyDescent="0.25">
      <c r="A1130" t="s">
        <v>5</v>
      </c>
      <c r="B1130">
        <v>3</v>
      </c>
      <c r="C1130">
        <v>0.120611069599787</v>
      </c>
      <c r="D1130">
        <v>6960</v>
      </c>
      <c r="E1130">
        <v>112.5426800251</v>
      </c>
    </row>
    <row r="1131" spans="1:5" x14ac:dyDescent="0.25">
      <c r="A1131" t="s">
        <v>6</v>
      </c>
      <c r="B1131">
        <v>3</v>
      </c>
      <c r="C1131">
        <v>0.10874995847542999</v>
      </c>
      <c r="D1131">
        <v>7002</v>
      </c>
      <c r="E1131">
        <v>63.903863668441701</v>
      </c>
    </row>
    <row r="1132" spans="1:5" x14ac:dyDescent="0.25">
      <c r="A1132" t="s">
        <v>5</v>
      </c>
      <c r="B1132">
        <v>4</v>
      </c>
      <c r="C1132">
        <v>0.101388847231864</v>
      </c>
      <c r="D1132">
        <v>6960</v>
      </c>
      <c r="E1132">
        <v>112.424299001693</v>
      </c>
    </row>
    <row r="1133" spans="1:5" x14ac:dyDescent="0.25">
      <c r="A1133" t="s">
        <v>6</v>
      </c>
      <c r="B1133">
        <v>4</v>
      </c>
      <c r="C1133">
        <v>8.8888844847679102E-2</v>
      </c>
      <c r="D1133">
        <v>7002</v>
      </c>
      <c r="E1133">
        <v>64.287502765655503</v>
      </c>
    </row>
    <row r="1134" spans="1:5" x14ac:dyDescent="0.25">
      <c r="A1134" t="s">
        <v>5</v>
      </c>
      <c r="B1134">
        <v>5</v>
      </c>
      <c r="C1134">
        <v>8.4583290219306898E-2</v>
      </c>
      <c r="D1134">
        <v>6960</v>
      </c>
      <c r="E1134">
        <v>111.751206874847</v>
      </c>
    </row>
    <row r="1135" spans="1:5" x14ac:dyDescent="0.25">
      <c r="A1135" t="s">
        <v>6</v>
      </c>
      <c r="B1135">
        <v>5</v>
      </c>
      <c r="C1135">
        <v>6.5805512468020105E-2</v>
      </c>
      <c r="D1135">
        <v>7002</v>
      </c>
      <c r="E1135">
        <v>63.660351753234799</v>
      </c>
    </row>
    <row r="1136" spans="1:5" x14ac:dyDescent="0.25">
      <c r="A1136" t="s">
        <v>5</v>
      </c>
      <c r="B1136">
        <v>6</v>
      </c>
      <c r="C1136">
        <v>6.3166624506314495E-2</v>
      </c>
      <c r="D1136">
        <v>6960</v>
      </c>
      <c r="E1136">
        <v>112.392789840698</v>
      </c>
    </row>
    <row r="1137" spans="1:5" x14ac:dyDescent="0.25">
      <c r="A1137" t="s">
        <v>6</v>
      </c>
      <c r="B1137">
        <v>6</v>
      </c>
      <c r="C1137">
        <v>4.8638846874237002E-2</v>
      </c>
      <c r="D1137">
        <v>7002</v>
      </c>
      <c r="E1137">
        <v>63.827301263809197</v>
      </c>
    </row>
    <row r="1138" spans="1:5" x14ac:dyDescent="0.25">
      <c r="A1138" t="s">
        <v>5</v>
      </c>
      <c r="B1138">
        <v>8</v>
      </c>
      <c r="C1138">
        <v>3.6805520256360302E-2</v>
      </c>
      <c r="D1138">
        <v>6960</v>
      </c>
      <c r="E1138">
        <v>112.32297515869099</v>
      </c>
    </row>
    <row r="1139" spans="1:5" x14ac:dyDescent="0.25">
      <c r="A1139" t="s">
        <v>6</v>
      </c>
      <c r="B1139">
        <v>8</v>
      </c>
      <c r="C1139">
        <v>2.1499971548716201E-2</v>
      </c>
      <c r="D1139">
        <v>7002</v>
      </c>
      <c r="E1139">
        <v>63.522851705551098</v>
      </c>
    </row>
    <row r="1140" spans="1:5" x14ac:dyDescent="0.25">
      <c r="A1140" t="s">
        <v>5</v>
      </c>
      <c r="B1140">
        <v>9</v>
      </c>
      <c r="C1140">
        <v>2.4166637659072801E-2</v>
      </c>
      <c r="D1140">
        <v>6960</v>
      </c>
      <c r="E1140">
        <v>112.21524810791</v>
      </c>
    </row>
    <row r="1141" spans="1:5" x14ac:dyDescent="0.25">
      <c r="A1141" t="s">
        <v>6</v>
      </c>
      <c r="B1141">
        <v>9</v>
      </c>
      <c r="C1141">
        <v>1.5861085454622899E-2</v>
      </c>
      <c r="D1141">
        <v>7002</v>
      </c>
      <c r="E1141">
        <v>63.838510751724201</v>
      </c>
    </row>
    <row r="1142" spans="1:5" x14ac:dyDescent="0.25">
      <c r="A1142" t="s">
        <v>5</v>
      </c>
      <c r="B1142">
        <v>10</v>
      </c>
      <c r="C1142">
        <v>1.2361096143722499E-2</v>
      </c>
      <c r="D1142">
        <v>6960</v>
      </c>
      <c r="E1142">
        <v>111.90224003791801</v>
      </c>
    </row>
    <row r="1143" spans="1:5" x14ac:dyDescent="0.25">
      <c r="A1143" t="s">
        <v>6</v>
      </c>
      <c r="B1143">
        <v>10</v>
      </c>
      <c r="C1143">
        <v>9.8888703187306696E-3</v>
      </c>
      <c r="D1143">
        <v>7002</v>
      </c>
      <c r="E1143">
        <v>63.655349016189497</v>
      </c>
    </row>
    <row r="1144" spans="1:5" x14ac:dyDescent="0.25">
      <c r="A1144" t="s">
        <v>5</v>
      </c>
      <c r="B1144">
        <v>11</v>
      </c>
      <c r="C1144">
        <v>8.0555440982182803E-3</v>
      </c>
      <c r="D1144">
        <v>6960</v>
      </c>
      <c r="E1144">
        <v>111.92233848571701</v>
      </c>
    </row>
    <row r="1145" spans="1:5" x14ac:dyDescent="0.25">
      <c r="A1145" t="s">
        <v>6</v>
      </c>
      <c r="B1145">
        <v>11</v>
      </c>
      <c r="C1145">
        <v>6.1111005147298104E-3</v>
      </c>
      <c r="D1145">
        <v>7002</v>
      </c>
      <c r="E1145">
        <v>64.205986261367798</v>
      </c>
    </row>
    <row r="1146" spans="1:5" x14ac:dyDescent="0.25">
      <c r="A1146" t="s">
        <v>5</v>
      </c>
      <c r="B1146">
        <v>12</v>
      </c>
      <c r="C1146">
        <v>1.6666601101557399E-3</v>
      </c>
      <c r="D1146">
        <v>6960</v>
      </c>
      <c r="E1146">
        <v>128.39761567115701</v>
      </c>
    </row>
    <row r="1147" spans="1:5" x14ac:dyDescent="0.25">
      <c r="A1147" t="s">
        <v>6</v>
      </c>
      <c r="B1147">
        <v>12</v>
      </c>
      <c r="C1147">
        <v>1.6527686516443799E-3</v>
      </c>
      <c r="D1147">
        <v>7002</v>
      </c>
      <c r="E1147">
        <v>82.054355144500704</v>
      </c>
    </row>
    <row r="1148" spans="1:5" x14ac:dyDescent="0.25">
      <c r="A1148" t="s">
        <v>5</v>
      </c>
      <c r="B1148">
        <v>13</v>
      </c>
      <c r="C1148">
        <v>8.8888466358184805E-4</v>
      </c>
      <c r="D1148">
        <v>6960</v>
      </c>
      <c r="E1148">
        <v>127.83251214027401</v>
      </c>
    </row>
    <row r="1149" spans="1:5" x14ac:dyDescent="0.25">
      <c r="A1149" t="s">
        <v>6</v>
      </c>
      <c r="B1149">
        <v>13</v>
      </c>
      <c r="C1149">
        <v>8.8888406753539996E-4</v>
      </c>
      <c r="D1149">
        <v>7002</v>
      </c>
      <c r="E1149">
        <v>82.204023838043199</v>
      </c>
    </row>
    <row r="1150" spans="1:5" x14ac:dyDescent="0.25">
      <c r="A1150" t="s">
        <v>5</v>
      </c>
      <c r="B1150">
        <v>14</v>
      </c>
      <c r="C1150">
        <v>3.0555446942647299E-4</v>
      </c>
      <c r="D1150">
        <v>6960</v>
      </c>
      <c r="E1150">
        <v>175.97516822814899</v>
      </c>
    </row>
    <row r="1151" spans="1:5" x14ac:dyDescent="0.25">
      <c r="A1151" t="s">
        <v>6</v>
      </c>
      <c r="B1151">
        <v>14</v>
      </c>
      <c r="C1151">
        <v>4.4444262981414699E-4</v>
      </c>
      <c r="D1151">
        <v>7002</v>
      </c>
      <c r="E1151">
        <v>98.574997901916504</v>
      </c>
    </row>
    <row r="1152" spans="1:5" x14ac:dyDescent="0.25">
      <c r="A1152" t="s">
        <v>5</v>
      </c>
      <c r="B1152">
        <v>15</v>
      </c>
      <c r="C1152">
        <v>2.8703649838765402E-4</v>
      </c>
      <c r="D1152">
        <v>6960</v>
      </c>
      <c r="E1152">
        <v>168.566923856735</v>
      </c>
    </row>
    <row r="1153" spans="1:5" x14ac:dyDescent="0.25">
      <c r="A1153" t="s">
        <v>6</v>
      </c>
      <c r="B1153">
        <v>15</v>
      </c>
      <c r="C1153">
        <v>1.6666571299235001E-4</v>
      </c>
      <c r="D1153">
        <v>7002</v>
      </c>
      <c r="E1153">
        <v>98.130354642867999</v>
      </c>
    </row>
    <row r="1154" spans="1:5" x14ac:dyDescent="0.25">
      <c r="A1154" t="s">
        <v>5</v>
      </c>
      <c r="B1154">
        <v>16</v>
      </c>
      <c r="C1154" s="1">
        <v>1.8518368403116801E-5</v>
      </c>
      <c r="D1154">
        <v>6960</v>
      </c>
      <c r="E1154">
        <v>167.19738435745199</v>
      </c>
    </row>
    <row r="1155" spans="1:5" x14ac:dyDescent="0.25">
      <c r="A1155" t="s">
        <v>6</v>
      </c>
      <c r="B1155">
        <v>16</v>
      </c>
      <c r="C1155" s="1">
        <v>3.7036736806233697E-5</v>
      </c>
      <c r="D1155">
        <v>7002</v>
      </c>
      <c r="E1155">
        <v>98.063686609268103</v>
      </c>
    </row>
    <row r="1156" spans="1:5" x14ac:dyDescent="0.25">
      <c r="A1156" t="s">
        <v>5</v>
      </c>
      <c r="B1156">
        <v>17</v>
      </c>
      <c r="C1156" s="1">
        <v>6.4814686775207497E-5</v>
      </c>
      <c r="D1156">
        <v>6960</v>
      </c>
      <c r="E1156">
        <v>166.30764484405501</v>
      </c>
    </row>
    <row r="1157" spans="1:5" x14ac:dyDescent="0.25">
      <c r="A1157" t="s">
        <v>6</v>
      </c>
      <c r="B1157">
        <v>17</v>
      </c>
      <c r="C1157" s="1">
        <v>1.8518368403116801E-5</v>
      </c>
      <c r="D1157">
        <v>7002</v>
      </c>
      <c r="E1157">
        <v>97.783593177795396</v>
      </c>
    </row>
    <row r="1158" spans="1:5" x14ac:dyDescent="0.25">
      <c r="A1158" t="s">
        <v>5</v>
      </c>
      <c r="B1158">
        <v>0</v>
      </c>
      <c r="C1158">
        <v>0.18511106908321301</v>
      </c>
      <c r="D1158">
        <v>6960</v>
      </c>
      <c r="E1158">
        <v>110.521357774734</v>
      </c>
    </row>
    <row r="1159" spans="1:5" x14ac:dyDescent="0.25">
      <c r="A1159" t="s">
        <v>6</v>
      </c>
      <c r="B1159">
        <v>0</v>
      </c>
      <c r="C1159">
        <v>0.17974995851516701</v>
      </c>
      <c r="D1159">
        <v>7002</v>
      </c>
      <c r="E1159">
        <v>63.1866133213043</v>
      </c>
    </row>
    <row r="1160" spans="1:5" x14ac:dyDescent="0.25">
      <c r="A1160" t="s">
        <v>5</v>
      </c>
      <c r="B1160">
        <v>1</v>
      </c>
      <c r="C1160">
        <v>0.16333329280217401</v>
      </c>
      <c r="D1160">
        <v>6960</v>
      </c>
      <c r="E1160">
        <v>111.108224868774</v>
      </c>
    </row>
    <row r="1161" spans="1:5" x14ac:dyDescent="0.25">
      <c r="A1161" t="s">
        <v>6</v>
      </c>
      <c r="B1161">
        <v>1</v>
      </c>
      <c r="C1161">
        <v>0.15699995974699599</v>
      </c>
      <c r="D1161">
        <v>7002</v>
      </c>
      <c r="E1161">
        <v>63.421924829482997</v>
      </c>
    </row>
    <row r="1162" spans="1:5" x14ac:dyDescent="0.25">
      <c r="A1162" t="s">
        <v>5</v>
      </c>
      <c r="B1162">
        <v>2</v>
      </c>
      <c r="C1162">
        <v>0.142138847708702</v>
      </c>
      <c r="D1162">
        <v>6960</v>
      </c>
      <c r="E1162">
        <v>111.96558570861799</v>
      </c>
    </row>
    <row r="1163" spans="1:5" x14ac:dyDescent="0.25">
      <c r="A1163" t="s">
        <v>6</v>
      </c>
      <c r="B1163">
        <v>2</v>
      </c>
      <c r="C1163">
        <v>0.13177773495515099</v>
      </c>
      <c r="D1163">
        <v>7002</v>
      </c>
      <c r="E1163">
        <v>63.570745706558199</v>
      </c>
    </row>
    <row r="1164" spans="1:5" x14ac:dyDescent="0.25">
      <c r="A1164" t="s">
        <v>5</v>
      </c>
      <c r="B1164">
        <v>3</v>
      </c>
      <c r="C1164">
        <v>0.121416627764701</v>
      </c>
      <c r="D1164">
        <v>6960</v>
      </c>
      <c r="E1164">
        <v>111.194783687591</v>
      </c>
    </row>
    <row r="1165" spans="1:5" x14ac:dyDescent="0.25">
      <c r="A1165" t="s">
        <v>6</v>
      </c>
      <c r="B1165">
        <v>3</v>
      </c>
      <c r="C1165">
        <v>0.110444403092066</v>
      </c>
      <c r="D1165">
        <v>7002</v>
      </c>
      <c r="E1165">
        <v>63.220941066741901</v>
      </c>
    </row>
    <row r="1166" spans="1:5" x14ac:dyDescent="0.25">
      <c r="A1166" t="s">
        <v>5</v>
      </c>
      <c r="B1166">
        <v>4</v>
      </c>
      <c r="C1166">
        <v>9.87777358293533E-2</v>
      </c>
      <c r="D1166">
        <v>6960</v>
      </c>
      <c r="E1166">
        <v>111.192954540252</v>
      </c>
    </row>
    <row r="1167" spans="1:5" x14ac:dyDescent="0.25">
      <c r="A1167" t="s">
        <v>6</v>
      </c>
      <c r="B1167">
        <v>4</v>
      </c>
      <c r="C1167">
        <v>8.7361067136128706E-2</v>
      </c>
      <c r="D1167">
        <v>7002</v>
      </c>
      <c r="E1167">
        <v>63.387554883956902</v>
      </c>
    </row>
    <row r="1168" spans="1:5" x14ac:dyDescent="0.25">
      <c r="A1168" t="s">
        <v>5</v>
      </c>
      <c r="B1168">
        <v>5</v>
      </c>
      <c r="C1168">
        <v>7.5694401065508496E-2</v>
      </c>
      <c r="D1168">
        <v>6960</v>
      </c>
      <c r="E1168">
        <v>111.63065767288199</v>
      </c>
    </row>
    <row r="1169" spans="1:5" x14ac:dyDescent="0.25">
      <c r="A1169" t="s">
        <v>6</v>
      </c>
      <c r="B1169">
        <v>5</v>
      </c>
      <c r="C1169">
        <v>6.6416623989741005E-2</v>
      </c>
      <c r="D1169">
        <v>7002</v>
      </c>
      <c r="E1169">
        <v>63.612238883972097</v>
      </c>
    </row>
    <row r="1170" spans="1:5" x14ac:dyDescent="0.25">
      <c r="A1170" t="s">
        <v>5</v>
      </c>
      <c r="B1170">
        <v>6</v>
      </c>
      <c r="C1170">
        <v>6.2138845324516197E-2</v>
      </c>
      <c r="D1170">
        <v>6960</v>
      </c>
      <c r="E1170">
        <v>112.43304610252299</v>
      </c>
    </row>
    <row r="1171" spans="1:5" x14ac:dyDescent="0.25">
      <c r="A1171" t="s">
        <v>6</v>
      </c>
      <c r="B1171">
        <v>6</v>
      </c>
      <c r="C1171">
        <v>4.6499960223833701E-2</v>
      </c>
      <c r="D1171">
        <v>7002</v>
      </c>
      <c r="E1171">
        <v>63.464407205581601</v>
      </c>
    </row>
    <row r="1172" spans="1:5" x14ac:dyDescent="0.25">
      <c r="A1172" t="s">
        <v>5</v>
      </c>
      <c r="B1172">
        <v>8</v>
      </c>
      <c r="C1172">
        <v>3.5222185452779102E-2</v>
      </c>
      <c r="D1172">
        <v>6960</v>
      </c>
      <c r="E1172">
        <v>111.33739614486601</v>
      </c>
    </row>
    <row r="1173" spans="1:5" x14ac:dyDescent="0.25">
      <c r="A1173" t="s">
        <v>6</v>
      </c>
      <c r="B1173">
        <v>8</v>
      </c>
      <c r="C1173">
        <v>2.46388582388559E-2</v>
      </c>
      <c r="D1173">
        <v>7002</v>
      </c>
      <c r="E1173">
        <v>63.537288665771399</v>
      </c>
    </row>
    <row r="1174" spans="1:5" x14ac:dyDescent="0.25">
      <c r="A1174" t="s">
        <v>5</v>
      </c>
      <c r="B1174">
        <v>9</v>
      </c>
      <c r="C1174">
        <v>2.0805531342824299E-2</v>
      </c>
      <c r="D1174">
        <v>6960</v>
      </c>
      <c r="E1174">
        <v>111.310656547546</v>
      </c>
    </row>
    <row r="1175" spans="1:5" x14ac:dyDescent="0.25">
      <c r="A1175" t="s">
        <v>6</v>
      </c>
      <c r="B1175">
        <v>9</v>
      </c>
      <c r="C1175">
        <v>1.5722198685010201E-2</v>
      </c>
      <c r="D1175">
        <v>7002</v>
      </c>
      <c r="E1175">
        <v>63.573924541473303</v>
      </c>
    </row>
    <row r="1176" spans="1:5" x14ac:dyDescent="0.25">
      <c r="A1176" t="s">
        <v>5</v>
      </c>
      <c r="B1176">
        <v>10</v>
      </c>
      <c r="C1176">
        <v>1.17777619759241E-2</v>
      </c>
      <c r="D1176">
        <v>6960</v>
      </c>
      <c r="E1176">
        <v>112.578776597976</v>
      </c>
    </row>
    <row r="1177" spans="1:5" x14ac:dyDescent="0.25">
      <c r="A1177" t="s">
        <v>6</v>
      </c>
      <c r="B1177">
        <v>10</v>
      </c>
      <c r="C1177">
        <v>9.7222063938776603E-3</v>
      </c>
      <c r="D1177">
        <v>7002</v>
      </c>
      <c r="E1177">
        <v>63.9895982742309</v>
      </c>
    </row>
    <row r="1178" spans="1:5" x14ac:dyDescent="0.25">
      <c r="A1178" t="s">
        <v>5</v>
      </c>
      <c r="B1178">
        <v>11</v>
      </c>
      <c r="C1178">
        <v>7.7499908208846996E-3</v>
      </c>
      <c r="D1178">
        <v>6960</v>
      </c>
      <c r="E1178">
        <v>112.161757230758</v>
      </c>
    </row>
    <row r="1179" spans="1:5" x14ac:dyDescent="0.25">
      <c r="A1179" t="s">
        <v>6</v>
      </c>
      <c r="B1179">
        <v>11</v>
      </c>
      <c r="C1179">
        <v>5.27776678403218E-3</v>
      </c>
      <c r="D1179">
        <v>7002</v>
      </c>
      <c r="E1179">
        <v>63.888486146926802</v>
      </c>
    </row>
    <row r="1180" spans="1:5" x14ac:dyDescent="0.25">
      <c r="A1180" t="s">
        <v>5</v>
      </c>
      <c r="B1180">
        <v>12</v>
      </c>
      <c r="C1180">
        <v>2.9722104469935098E-3</v>
      </c>
      <c r="D1180">
        <v>6960</v>
      </c>
      <c r="E1180">
        <v>128.60247540473901</v>
      </c>
    </row>
    <row r="1181" spans="1:5" x14ac:dyDescent="0.25">
      <c r="A1181" t="s">
        <v>6</v>
      </c>
      <c r="B1181">
        <v>12</v>
      </c>
      <c r="C1181">
        <v>3.2360947132110498E-3</v>
      </c>
      <c r="D1181">
        <v>7002</v>
      </c>
      <c r="E1181">
        <v>82.352149724960299</v>
      </c>
    </row>
    <row r="1182" spans="1:5" x14ac:dyDescent="0.25">
      <c r="A1182" t="s">
        <v>5</v>
      </c>
      <c r="B1182">
        <v>13</v>
      </c>
      <c r="C1182">
        <v>6.8055252234140999E-4</v>
      </c>
      <c r="D1182">
        <v>6960</v>
      </c>
      <c r="E1182">
        <v>128.24185132980301</v>
      </c>
    </row>
    <row r="1183" spans="1:5" x14ac:dyDescent="0.25">
      <c r="A1183" t="s">
        <v>6</v>
      </c>
      <c r="B1183">
        <v>13</v>
      </c>
      <c r="C1183">
        <v>1.16666058699289E-3</v>
      </c>
      <c r="D1183">
        <v>7002</v>
      </c>
      <c r="E1183">
        <v>82.056390762329102</v>
      </c>
    </row>
    <row r="1184" spans="1:5" x14ac:dyDescent="0.25">
      <c r="A1184" t="s">
        <v>5</v>
      </c>
      <c r="B1184">
        <v>14</v>
      </c>
      <c r="C1184">
        <v>3.0555446942647299E-4</v>
      </c>
      <c r="D1184">
        <v>6960</v>
      </c>
      <c r="E1184">
        <v>167.67430114746</v>
      </c>
    </row>
    <row r="1185" spans="1:5" x14ac:dyDescent="0.25">
      <c r="A1185" t="s">
        <v>6</v>
      </c>
      <c r="B1185">
        <v>14</v>
      </c>
      <c r="C1185">
        <v>5.09256919225057E-4</v>
      </c>
      <c r="D1185">
        <v>7002</v>
      </c>
      <c r="E1185">
        <v>98.198101282119694</v>
      </c>
    </row>
    <row r="1186" spans="1:5" x14ac:dyDescent="0.25">
      <c r="A1186" t="s">
        <v>5</v>
      </c>
      <c r="B1186">
        <v>15</v>
      </c>
      <c r="C1186">
        <v>2.3148099581400501E-4</v>
      </c>
      <c r="D1186">
        <v>6960</v>
      </c>
      <c r="E1186">
        <v>165.39054179191501</v>
      </c>
    </row>
    <row r="1187" spans="1:5" x14ac:dyDescent="0.25">
      <c r="A1187" t="s">
        <v>6</v>
      </c>
      <c r="B1187">
        <v>15</v>
      </c>
      <c r="C1187">
        <v>1.11110210418701E-4</v>
      </c>
      <c r="D1187">
        <v>7002</v>
      </c>
      <c r="E1187">
        <v>98.282316446304307</v>
      </c>
    </row>
    <row r="1188" spans="1:5" x14ac:dyDescent="0.25">
      <c r="A1188" t="s">
        <v>5</v>
      </c>
      <c r="B1188">
        <v>16</v>
      </c>
      <c r="C1188">
        <v>1.6666650772094701E-4</v>
      </c>
      <c r="D1188">
        <v>6960</v>
      </c>
      <c r="E1188">
        <v>165.65917634963901</v>
      </c>
    </row>
    <row r="1189" spans="1:5" x14ac:dyDescent="0.25">
      <c r="A1189" t="s">
        <v>6</v>
      </c>
      <c r="B1189">
        <v>16</v>
      </c>
      <c r="C1189" s="1">
        <v>3.7036935488382901E-5</v>
      </c>
      <c r="D1189">
        <v>7002</v>
      </c>
      <c r="E1189">
        <v>97.796122074127197</v>
      </c>
    </row>
    <row r="1190" spans="1:5" x14ac:dyDescent="0.25">
      <c r="A1190" t="s">
        <v>5</v>
      </c>
      <c r="B1190">
        <v>17</v>
      </c>
      <c r="C1190">
        <v>0</v>
      </c>
      <c r="D1190">
        <v>6960</v>
      </c>
      <c r="E1190">
        <v>166.636652946472</v>
      </c>
    </row>
    <row r="1191" spans="1:5" x14ac:dyDescent="0.25">
      <c r="A1191" t="s">
        <v>6</v>
      </c>
      <c r="B1191">
        <v>17</v>
      </c>
      <c r="C1191" s="1">
        <v>1.8518368403116801E-5</v>
      </c>
      <c r="D1191">
        <v>7002</v>
      </c>
      <c r="E1191">
        <v>98.244881391525198</v>
      </c>
    </row>
    <row r="1192" spans="1:5" x14ac:dyDescent="0.25">
      <c r="A1192" t="s">
        <v>5</v>
      </c>
      <c r="B1192">
        <v>0</v>
      </c>
      <c r="C1192">
        <v>0.185833292802174</v>
      </c>
      <c r="D1192">
        <v>6960</v>
      </c>
      <c r="E1192">
        <v>111.51901650428699</v>
      </c>
    </row>
    <row r="1193" spans="1:5" x14ac:dyDescent="0.25">
      <c r="A1193" t="s">
        <v>6</v>
      </c>
      <c r="B1193">
        <v>0</v>
      </c>
      <c r="C1193">
        <v>0.180749958554903</v>
      </c>
      <c r="D1193">
        <v>7002</v>
      </c>
      <c r="E1193">
        <v>63.637331247329698</v>
      </c>
    </row>
    <row r="1194" spans="1:5" x14ac:dyDescent="0.25">
      <c r="A1194" t="s">
        <v>5</v>
      </c>
      <c r="B1194">
        <v>1</v>
      </c>
      <c r="C1194">
        <v>0.16277773618698099</v>
      </c>
      <c r="D1194">
        <v>6960</v>
      </c>
      <c r="E1194">
        <v>111.739132165908</v>
      </c>
    </row>
    <row r="1195" spans="1:5" x14ac:dyDescent="0.25">
      <c r="A1195" t="s">
        <v>6</v>
      </c>
      <c r="B1195">
        <v>1</v>
      </c>
      <c r="C1195">
        <v>0.15674995958804999</v>
      </c>
      <c r="D1195">
        <v>7002</v>
      </c>
      <c r="E1195">
        <v>63.7053575515747</v>
      </c>
    </row>
    <row r="1196" spans="1:5" x14ac:dyDescent="0.25">
      <c r="A1196" t="s">
        <v>5</v>
      </c>
      <c r="B1196">
        <v>2</v>
      </c>
      <c r="C1196">
        <v>0.14352773527304299</v>
      </c>
      <c r="D1196">
        <v>6960</v>
      </c>
      <c r="E1196">
        <v>110.88260102272</v>
      </c>
    </row>
    <row r="1197" spans="1:5" x14ac:dyDescent="0.25">
      <c r="A1197" t="s">
        <v>6</v>
      </c>
      <c r="B1197">
        <v>2</v>
      </c>
      <c r="C1197">
        <v>0.132222182154655</v>
      </c>
      <c r="D1197">
        <v>7002</v>
      </c>
      <c r="E1197">
        <v>64.0249116420745</v>
      </c>
    </row>
    <row r="1198" spans="1:5" x14ac:dyDescent="0.25">
      <c r="A1198" t="s">
        <v>5</v>
      </c>
      <c r="B1198">
        <v>3</v>
      </c>
      <c r="C1198">
        <v>0.117833293080329</v>
      </c>
      <c r="D1198">
        <v>6960</v>
      </c>
      <c r="E1198">
        <v>113.57261633872901</v>
      </c>
    </row>
    <row r="1199" spans="1:5" x14ac:dyDescent="0.25">
      <c r="A1199" t="s">
        <v>6</v>
      </c>
      <c r="B1199">
        <v>3</v>
      </c>
      <c r="C1199">
        <v>0.111499958237012</v>
      </c>
      <c r="D1199">
        <v>7002</v>
      </c>
      <c r="E1199">
        <v>63.706204891204798</v>
      </c>
    </row>
    <row r="1200" spans="1:5" x14ac:dyDescent="0.25">
      <c r="A1200" t="s">
        <v>5</v>
      </c>
      <c r="B1200">
        <v>4</v>
      </c>
      <c r="C1200">
        <v>0.103333291014035</v>
      </c>
      <c r="D1200">
        <v>6960</v>
      </c>
      <c r="E1200">
        <v>111.07460641860899</v>
      </c>
    </row>
    <row r="1201" spans="1:5" x14ac:dyDescent="0.25">
      <c r="A1201" t="s">
        <v>6</v>
      </c>
      <c r="B1201">
        <v>4</v>
      </c>
      <c r="C1201">
        <v>8.5972179571787502E-2</v>
      </c>
      <c r="D1201">
        <v>7002</v>
      </c>
      <c r="E1201">
        <v>63.787333726882899</v>
      </c>
    </row>
    <row r="1202" spans="1:5" x14ac:dyDescent="0.25">
      <c r="A1202" t="s">
        <v>5</v>
      </c>
      <c r="B1202">
        <v>5</v>
      </c>
      <c r="C1202">
        <v>7.9888844688733404E-2</v>
      </c>
      <c r="D1202">
        <v>6960</v>
      </c>
      <c r="E1202">
        <v>111.28216814994801</v>
      </c>
    </row>
    <row r="1203" spans="1:5" x14ac:dyDescent="0.25">
      <c r="A1203" t="s">
        <v>6</v>
      </c>
      <c r="B1203">
        <v>5</v>
      </c>
      <c r="C1203">
        <v>6.7166623274485193E-2</v>
      </c>
      <c r="D1203">
        <v>7002</v>
      </c>
      <c r="E1203">
        <v>63.570759534835801</v>
      </c>
    </row>
    <row r="1204" spans="1:5" x14ac:dyDescent="0.25">
      <c r="A1204" t="s">
        <v>5</v>
      </c>
      <c r="B1204">
        <v>6</v>
      </c>
      <c r="C1204">
        <v>6.1416623195012399E-2</v>
      </c>
      <c r="D1204">
        <v>6960</v>
      </c>
      <c r="E1204">
        <v>112.10332584381101</v>
      </c>
    </row>
    <row r="1205" spans="1:5" x14ac:dyDescent="0.25">
      <c r="A1205" t="s">
        <v>6</v>
      </c>
      <c r="B1205">
        <v>6</v>
      </c>
      <c r="C1205">
        <v>4.8999958038330002E-2</v>
      </c>
      <c r="D1205">
        <v>7002</v>
      </c>
      <c r="E1205">
        <v>64.169615507125798</v>
      </c>
    </row>
    <row r="1206" spans="1:5" x14ac:dyDescent="0.25">
      <c r="A1206" t="s">
        <v>5</v>
      </c>
      <c r="B1206">
        <v>8</v>
      </c>
      <c r="C1206">
        <v>3.3916630546251901E-2</v>
      </c>
      <c r="D1206">
        <v>6960</v>
      </c>
      <c r="E1206">
        <v>110.957791090011</v>
      </c>
    </row>
    <row r="1207" spans="1:5" x14ac:dyDescent="0.25">
      <c r="A1207" t="s">
        <v>6</v>
      </c>
      <c r="B1207">
        <v>8</v>
      </c>
      <c r="C1207">
        <v>2.3249968489011098E-2</v>
      </c>
      <c r="D1207">
        <v>7002</v>
      </c>
      <c r="E1207">
        <v>63.555048704147303</v>
      </c>
    </row>
    <row r="1208" spans="1:5" x14ac:dyDescent="0.25">
      <c r="A1208" t="s">
        <v>5</v>
      </c>
      <c r="B1208">
        <v>9</v>
      </c>
      <c r="C1208">
        <v>2.31944175561269E-2</v>
      </c>
      <c r="D1208">
        <v>6960</v>
      </c>
      <c r="E1208">
        <v>111.74584221839901</v>
      </c>
    </row>
    <row r="1209" spans="1:5" x14ac:dyDescent="0.25">
      <c r="A1209" t="s">
        <v>6</v>
      </c>
      <c r="B1209">
        <v>9</v>
      </c>
      <c r="C1209">
        <v>1.50555306673049E-2</v>
      </c>
      <c r="D1209">
        <v>7002</v>
      </c>
      <c r="E1209">
        <v>63.605107069015503</v>
      </c>
    </row>
    <row r="1210" spans="1:5" x14ac:dyDescent="0.25">
      <c r="A1210" t="s">
        <v>5</v>
      </c>
      <c r="B1210">
        <v>10</v>
      </c>
      <c r="C1210">
        <v>1.54166458050409E-2</v>
      </c>
      <c r="D1210">
        <v>6960</v>
      </c>
      <c r="E1210">
        <v>111.24577951431201</v>
      </c>
    </row>
    <row r="1211" spans="1:5" x14ac:dyDescent="0.25">
      <c r="A1211" t="s">
        <v>6</v>
      </c>
      <c r="B1211">
        <v>10</v>
      </c>
      <c r="C1211">
        <v>8.4444288412729804E-3</v>
      </c>
      <c r="D1211">
        <v>7002</v>
      </c>
      <c r="E1211">
        <v>63.5717453956604</v>
      </c>
    </row>
    <row r="1212" spans="1:5" x14ac:dyDescent="0.25">
      <c r="A1212" t="s">
        <v>5</v>
      </c>
      <c r="B1212">
        <v>11</v>
      </c>
      <c r="C1212">
        <v>7.0555460453033403E-3</v>
      </c>
      <c r="D1212">
        <v>6960</v>
      </c>
      <c r="E1212">
        <v>111.572414398193</v>
      </c>
    </row>
    <row r="1213" spans="1:5" x14ac:dyDescent="0.25">
      <c r="A1213" t="s">
        <v>6</v>
      </c>
      <c r="B1213">
        <v>11</v>
      </c>
      <c r="C1213">
        <v>5.6388775507609E-3</v>
      </c>
      <c r="D1213">
        <v>7002</v>
      </c>
      <c r="E1213">
        <v>63.587561130523603</v>
      </c>
    </row>
    <row r="1214" spans="1:5" x14ac:dyDescent="0.25">
      <c r="A1214" t="s">
        <v>5</v>
      </c>
      <c r="B1214">
        <v>12</v>
      </c>
      <c r="C1214">
        <v>1.9027705987294499E-3</v>
      </c>
      <c r="D1214">
        <v>6960</v>
      </c>
      <c r="E1214">
        <v>127.45445632934501</v>
      </c>
    </row>
    <row r="1215" spans="1:5" x14ac:dyDescent="0.25">
      <c r="A1215" t="s">
        <v>6</v>
      </c>
      <c r="B1215">
        <v>12</v>
      </c>
      <c r="C1215">
        <v>3.0416530370712199E-3</v>
      </c>
      <c r="D1215">
        <v>7002</v>
      </c>
      <c r="E1215">
        <v>82.164524316787706</v>
      </c>
    </row>
    <row r="1216" spans="1:5" x14ac:dyDescent="0.25">
      <c r="A1216" t="s">
        <v>5</v>
      </c>
      <c r="B1216">
        <v>13</v>
      </c>
      <c r="C1216">
        <v>9.9999666213989192E-4</v>
      </c>
      <c r="D1216">
        <v>6960</v>
      </c>
      <c r="E1216">
        <v>128.077119112014</v>
      </c>
    </row>
    <row r="1217" spans="1:5" x14ac:dyDescent="0.25">
      <c r="A1217" t="s">
        <v>6</v>
      </c>
      <c r="B1217">
        <v>13</v>
      </c>
      <c r="C1217">
        <v>1.4027692874272601E-3</v>
      </c>
      <c r="D1217">
        <v>7002</v>
      </c>
      <c r="E1217">
        <v>81.788804769515906</v>
      </c>
    </row>
    <row r="1218" spans="1:5" x14ac:dyDescent="0.25">
      <c r="A1218" t="s">
        <v>5</v>
      </c>
      <c r="B1218">
        <v>14</v>
      </c>
      <c r="C1218">
        <v>2.49999364217122E-4</v>
      </c>
      <c r="D1218">
        <v>6960</v>
      </c>
      <c r="E1218">
        <v>179.83142900466899</v>
      </c>
    </row>
    <row r="1219" spans="1:5" x14ac:dyDescent="0.25">
      <c r="A1219" t="s">
        <v>6</v>
      </c>
      <c r="B1219">
        <v>14</v>
      </c>
      <c r="C1219">
        <v>3.5184959570566801E-4</v>
      </c>
      <c r="D1219">
        <v>7002</v>
      </c>
      <c r="E1219">
        <v>98.442898750305105</v>
      </c>
    </row>
    <row r="1220" spans="1:5" x14ac:dyDescent="0.25">
      <c r="A1220" t="s">
        <v>5</v>
      </c>
      <c r="B1220">
        <v>15</v>
      </c>
      <c r="C1220" s="1">
        <v>6.4814686775207497E-5</v>
      </c>
      <c r="D1220">
        <v>6960</v>
      </c>
      <c r="E1220">
        <v>168.477391719818</v>
      </c>
    </row>
    <row r="1221" spans="1:5" x14ac:dyDescent="0.25">
      <c r="A1221" t="s">
        <v>6</v>
      </c>
      <c r="B1221">
        <v>15</v>
      </c>
      <c r="C1221">
        <v>1.29629174868265E-4</v>
      </c>
      <c r="D1221">
        <v>7002</v>
      </c>
      <c r="E1221">
        <v>98.063916206359806</v>
      </c>
    </row>
    <row r="1222" spans="1:5" x14ac:dyDescent="0.25">
      <c r="A1222" t="s">
        <v>5</v>
      </c>
      <c r="B1222">
        <v>16</v>
      </c>
      <c r="C1222">
        <v>1.3888875643412201E-4</v>
      </c>
      <c r="D1222">
        <v>6960</v>
      </c>
      <c r="E1222">
        <v>166.27159166336</v>
      </c>
    </row>
    <row r="1223" spans="1:5" x14ac:dyDescent="0.25">
      <c r="A1223" t="s">
        <v>6</v>
      </c>
      <c r="B1223">
        <v>16</v>
      </c>
      <c r="C1223" s="1">
        <v>4.6296119689941401E-5</v>
      </c>
      <c r="D1223">
        <v>7002</v>
      </c>
      <c r="E1223">
        <v>98.226200342178302</v>
      </c>
    </row>
    <row r="1224" spans="1:5" x14ac:dyDescent="0.25">
      <c r="A1224" t="s">
        <v>5</v>
      </c>
      <c r="B1224">
        <v>17</v>
      </c>
      <c r="C1224" s="1">
        <v>3.7036935488382901E-5</v>
      </c>
      <c r="D1224">
        <v>6960</v>
      </c>
      <c r="E1224">
        <v>165.59609413146899</v>
      </c>
    </row>
    <row r="1225" spans="1:5" x14ac:dyDescent="0.25">
      <c r="A1225" t="s">
        <v>6</v>
      </c>
      <c r="B1225">
        <v>17</v>
      </c>
      <c r="C1225" s="1">
        <v>1.8518368403116801E-5</v>
      </c>
      <c r="D1225">
        <v>7002</v>
      </c>
      <c r="E1225">
        <v>98.711889028549194</v>
      </c>
    </row>
    <row r="1226" spans="1:5" x14ac:dyDescent="0.25">
      <c r="A1226" t="s">
        <v>5</v>
      </c>
      <c r="B1226">
        <v>0</v>
      </c>
      <c r="C1226">
        <v>0.18924995779991099</v>
      </c>
      <c r="D1226">
        <v>6960</v>
      </c>
      <c r="E1226">
        <v>112.024971485137</v>
      </c>
    </row>
    <row r="1227" spans="1:5" x14ac:dyDescent="0.25">
      <c r="A1227" t="s">
        <v>6</v>
      </c>
      <c r="B1227">
        <v>0</v>
      </c>
      <c r="C1227">
        <v>0.18088884790738399</v>
      </c>
      <c r="D1227">
        <v>7002</v>
      </c>
      <c r="E1227">
        <v>63.825102567672701</v>
      </c>
    </row>
    <row r="1228" spans="1:5" x14ac:dyDescent="0.25">
      <c r="A1228" t="s">
        <v>5</v>
      </c>
      <c r="B1228">
        <v>1</v>
      </c>
      <c r="C1228">
        <v>0.161361069281895</v>
      </c>
      <c r="D1228">
        <v>6960</v>
      </c>
      <c r="E1228">
        <v>111.414124727249</v>
      </c>
    </row>
    <row r="1229" spans="1:5" x14ac:dyDescent="0.25">
      <c r="A1229" t="s">
        <v>6</v>
      </c>
      <c r="B1229">
        <v>1</v>
      </c>
      <c r="C1229">
        <v>0.15724995970726</v>
      </c>
      <c r="D1229">
        <v>7002</v>
      </c>
      <c r="E1229">
        <v>63.554158687591503</v>
      </c>
    </row>
    <row r="1230" spans="1:5" x14ac:dyDescent="0.25">
      <c r="A1230" t="s">
        <v>5</v>
      </c>
      <c r="B1230">
        <v>2</v>
      </c>
      <c r="C1230">
        <v>0.140138848225275</v>
      </c>
      <c r="D1230">
        <v>6960</v>
      </c>
      <c r="E1230">
        <v>111.413334608078</v>
      </c>
    </row>
    <row r="1231" spans="1:5" x14ac:dyDescent="0.25">
      <c r="A1231" t="s">
        <v>6</v>
      </c>
      <c r="B1231">
        <v>2</v>
      </c>
      <c r="C1231">
        <v>0.13266662637392601</v>
      </c>
      <c r="D1231">
        <v>7002</v>
      </c>
      <c r="E1231">
        <v>63.7863254547119</v>
      </c>
    </row>
    <row r="1232" spans="1:5" x14ac:dyDescent="0.25">
      <c r="A1232" t="s">
        <v>5</v>
      </c>
      <c r="B1232">
        <v>3</v>
      </c>
      <c r="C1232">
        <v>0.119499960343043</v>
      </c>
      <c r="D1232">
        <v>6960</v>
      </c>
      <c r="E1232">
        <v>111.862179040908</v>
      </c>
    </row>
    <row r="1233" spans="1:5" x14ac:dyDescent="0.25">
      <c r="A1233" t="s">
        <v>6</v>
      </c>
      <c r="B1233">
        <v>3</v>
      </c>
      <c r="C1233">
        <v>0.109222181042035</v>
      </c>
      <c r="D1233">
        <v>7002</v>
      </c>
      <c r="E1233">
        <v>63.488359689712503</v>
      </c>
    </row>
    <row r="1234" spans="1:5" x14ac:dyDescent="0.25">
      <c r="A1234" t="s">
        <v>5</v>
      </c>
      <c r="B1234">
        <v>4</v>
      </c>
      <c r="C1234">
        <v>0.102305513223012</v>
      </c>
      <c r="D1234">
        <v>6960</v>
      </c>
      <c r="E1234">
        <v>111.685181140899</v>
      </c>
    </row>
    <row r="1235" spans="1:5" x14ac:dyDescent="0.25">
      <c r="A1235" t="s">
        <v>6</v>
      </c>
      <c r="B1235">
        <v>4</v>
      </c>
      <c r="C1235">
        <v>8.6611067056655805E-2</v>
      </c>
      <c r="D1235">
        <v>7002</v>
      </c>
      <c r="E1235">
        <v>63.989433765411299</v>
      </c>
    </row>
    <row r="1236" spans="1:5" x14ac:dyDescent="0.25">
      <c r="A1236" t="s">
        <v>5</v>
      </c>
      <c r="B1236">
        <v>5</v>
      </c>
      <c r="C1236">
        <v>7.9305512706438694E-2</v>
      </c>
      <c r="D1236">
        <v>6960</v>
      </c>
      <c r="E1236">
        <v>111.26605439186</v>
      </c>
    </row>
    <row r="1237" spans="1:5" x14ac:dyDescent="0.25">
      <c r="A1237" t="s">
        <v>6</v>
      </c>
      <c r="B1237">
        <v>5</v>
      </c>
      <c r="C1237">
        <v>6.6055513421694398E-2</v>
      </c>
      <c r="D1237">
        <v>7002</v>
      </c>
      <c r="E1237">
        <v>63.5198106765747</v>
      </c>
    </row>
    <row r="1238" spans="1:5" x14ac:dyDescent="0.25">
      <c r="A1238" t="s">
        <v>5</v>
      </c>
      <c r="B1238">
        <v>6</v>
      </c>
      <c r="C1238">
        <v>6.2722180088361099E-2</v>
      </c>
      <c r="D1238">
        <v>6960</v>
      </c>
      <c r="E1238">
        <v>111.12822246551499</v>
      </c>
    </row>
    <row r="1239" spans="1:5" x14ac:dyDescent="0.25">
      <c r="A1239" t="s">
        <v>6</v>
      </c>
      <c r="B1239">
        <v>6</v>
      </c>
      <c r="C1239">
        <v>5.2138845324516299E-2</v>
      </c>
      <c r="D1239">
        <v>7002</v>
      </c>
      <c r="E1239">
        <v>63.621033430099402</v>
      </c>
    </row>
    <row r="1240" spans="1:5" x14ac:dyDescent="0.25">
      <c r="A1240" t="s">
        <v>5</v>
      </c>
      <c r="B1240">
        <v>8</v>
      </c>
      <c r="C1240">
        <v>3.5055520335833201E-2</v>
      </c>
      <c r="D1240">
        <v>6960</v>
      </c>
      <c r="E1240">
        <v>111.711826324462</v>
      </c>
    </row>
    <row r="1241" spans="1:5" x14ac:dyDescent="0.25">
      <c r="A1241" t="s">
        <v>6</v>
      </c>
      <c r="B1241">
        <v>8</v>
      </c>
      <c r="C1241">
        <v>2.2861081759134899E-2</v>
      </c>
      <c r="D1241">
        <v>7002</v>
      </c>
      <c r="E1241">
        <v>63.887383937835601</v>
      </c>
    </row>
    <row r="1242" spans="1:5" x14ac:dyDescent="0.25">
      <c r="A1242" t="s">
        <v>5</v>
      </c>
      <c r="B1242">
        <v>9</v>
      </c>
      <c r="C1242">
        <v>2.7194411357243799E-2</v>
      </c>
      <c r="D1242">
        <v>6960</v>
      </c>
      <c r="E1242">
        <v>112.36372876167199</v>
      </c>
    </row>
    <row r="1243" spans="1:5" x14ac:dyDescent="0.25">
      <c r="A1243" t="s">
        <v>6</v>
      </c>
      <c r="B1243">
        <v>9</v>
      </c>
      <c r="C1243">
        <v>1.8055529395739199E-2</v>
      </c>
      <c r="D1243">
        <v>7002</v>
      </c>
      <c r="E1243">
        <v>63.720803976058903</v>
      </c>
    </row>
    <row r="1244" spans="1:5" x14ac:dyDescent="0.25">
      <c r="A1244" t="s">
        <v>5</v>
      </c>
      <c r="B1244">
        <v>10</v>
      </c>
      <c r="C1244">
        <v>1.65833137432734E-2</v>
      </c>
      <c r="D1244">
        <v>6960</v>
      </c>
      <c r="E1244">
        <v>112.44733095169001</v>
      </c>
    </row>
    <row r="1245" spans="1:5" x14ac:dyDescent="0.25">
      <c r="A1245" t="s">
        <v>6</v>
      </c>
      <c r="B1245">
        <v>10</v>
      </c>
      <c r="C1245">
        <v>7.4722101291020701E-3</v>
      </c>
      <c r="D1245">
        <v>7002</v>
      </c>
      <c r="E1245">
        <v>63.739611387252801</v>
      </c>
    </row>
    <row r="1246" spans="1:5" x14ac:dyDescent="0.25">
      <c r="A1246" t="s">
        <v>5</v>
      </c>
      <c r="B1246">
        <v>11</v>
      </c>
      <c r="C1246">
        <v>6.13888084888458E-3</v>
      </c>
      <c r="D1246">
        <v>6960</v>
      </c>
      <c r="E1246">
        <v>112.26002550125099</v>
      </c>
    </row>
    <row r="1247" spans="1:5" x14ac:dyDescent="0.25">
      <c r="A1247" t="s">
        <v>6</v>
      </c>
      <c r="B1247">
        <v>11</v>
      </c>
      <c r="C1247">
        <v>6.4999886353810602E-3</v>
      </c>
      <c r="D1247">
        <v>7002</v>
      </c>
      <c r="E1247">
        <v>63.8886556625366</v>
      </c>
    </row>
    <row r="1248" spans="1:5" x14ac:dyDescent="0.25">
      <c r="A1248" t="s">
        <v>5</v>
      </c>
      <c r="B1248">
        <v>12</v>
      </c>
      <c r="C1248">
        <v>2.0972128709157299E-3</v>
      </c>
      <c r="D1248">
        <v>6960</v>
      </c>
      <c r="E1248">
        <v>128.70381879806499</v>
      </c>
    </row>
    <row r="1249" spans="1:5" x14ac:dyDescent="0.25">
      <c r="A1249" t="s">
        <v>6</v>
      </c>
      <c r="B1249">
        <v>12</v>
      </c>
      <c r="C1249">
        <v>1.87498986721038E-3</v>
      </c>
      <c r="D1249">
        <v>7002</v>
      </c>
      <c r="E1249">
        <v>82.053287506103501</v>
      </c>
    </row>
    <row r="1250" spans="1:5" x14ac:dyDescent="0.25">
      <c r="A1250" t="s">
        <v>5</v>
      </c>
      <c r="B1250">
        <v>13</v>
      </c>
      <c r="C1250">
        <v>8.3333035310109401E-4</v>
      </c>
      <c r="D1250">
        <v>6960</v>
      </c>
      <c r="E1250">
        <v>127.995332002639</v>
      </c>
    </row>
    <row r="1251" spans="1:5" x14ac:dyDescent="0.25">
      <c r="A1251" t="s">
        <v>6</v>
      </c>
      <c r="B1251">
        <v>13</v>
      </c>
      <c r="C1251">
        <v>9.9999447663624993E-4</v>
      </c>
      <c r="D1251">
        <v>7002</v>
      </c>
      <c r="E1251">
        <v>82.064637660980196</v>
      </c>
    </row>
    <row r="1252" spans="1:5" x14ac:dyDescent="0.25">
      <c r="A1252" t="s">
        <v>5</v>
      </c>
      <c r="B1252">
        <v>14</v>
      </c>
      <c r="C1252">
        <v>2.7777671813964799E-4</v>
      </c>
      <c r="D1252">
        <v>6960</v>
      </c>
      <c r="E1252">
        <v>166.11788582801799</v>
      </c>
    </row>
    <row r="1253" spans="1:5" x14ac:dyDescent="0.25">
      <c r="A1253" t="s">
        <v>6</v>
      </c>
      <c r="B1253">
        <v>14</v>
      </c>
      <c r="C1253">
        <v>2.2222101688384999E-4</v>
      </c>
      <c r="D1253">
        <v>7002</v>
      </c>
      <c r="E1253">
        <v>98.776175737380896</v>
      </c>
    </row>
    <row r="1254" spans="1:5" x14ac:dyDescent="0.25">
      <c r="A1254" t="s">
        <v>5</v>
      </c>
      <c r="B1254">
        <v>15</v>
      </c>
      <c r="C1254">
        <v>1.5740712483723899E-4</v>
      </c>
      <c r="D1254">
        <v>6960</v>
      </c>
      <c r="E1254">
        <v>161.94289112090999</v>
      </c>
    </row>
    <row r="1255" spans="1:5" x14ac:dyDescent="0.25">
      <c r="A1255" t="s">
        <v>6</v>
      </c>
      <c r="B1255">
        <v>15</v>
      </c>
      <c r="C1255">
        <v>1.29629174868265E-4</v>
      </c>
      <c r="D1255">
        <v>7002</v>
      </c>
      <c r="E1255">
        <v>97.964775323867798</v>
      </c>
    </row>
    <row r="1256" spans="1:5" x14ac:dyDescent="0.25">
      <c r="A1256" t="s">
        <v>5</v>
      </c>
      <c r="B1256">
        <v>16</v>
      </c>
      <c r="C1256">
        <v>1.11110806465148E-4</v>
      </c>
      <c r="D1256">
        <v>6960</v>
      </c>
      <c r="E1256">
        <v>161.988365650177</v>
      </c>
    </row>
    <row r="1257" spans="1:5" x14ac:dyDescent="0.25">
      <c r="A1257" t="s">
        <v>6</v>
      </c>
      <c r="B1257">
        <v>16</v>
      </c>
      <c r="C1257" s="1">
        <v>3.7036736806233697E-5</v>
      </c>
      <c r="D1257">
        <v>7002</v>
      </c>
      <c r="E1257">
        <v>97.964845418929997</v>
      </c>
    </row>
    <row r="1258" spans="1:5" x14ac:dyDescent="0.25">
      <c r="A1258" t="s">
        <v>5</v>
      </c>
      <c r="B1258">
        <v>17</v>
      </c>
      <c r="C1258">
        <v>0</v>
      </c>
      <c r="D1258">
        <v>6960</v>
      </c>
      <c r="E1258">
        <v>162.57747840881299</v>
      </c>
    </row>
    <row r="1259" spans="1:5" x14ac:dyDescent="0.25">
      <c r="A1259" t="s">
        <v>6</v>
      </c>
      <c r="B1259">
        <v>17</v>
      </c>
      <c r="C1259">
        <v>0</v>
      </c>
      <c r="D1259">
        <v>7002</v>
      </c>
      <c r="E1259">
        <v>98.192860841751099</v>
      </c>
    </row>
    <row r="1260" spans="1:5" x14ac:dyDescent="0.25">
      <c r="A1260" t="s">
        <v>5</v>
      </c>
      <c r="B1260">
        <v>0</v>
      </c>
      <c r="C1260">
        <v>0.187444400389989</v>
      </c>
      <c r="D1260">
        <v>6960</v>
      </c>
      <c r="E1260">
        <v>111.96767640113799</v>
      </c>
    </row>
    <row r="1261" spans="1:5" x14ac:dyDescent="0.25">
      <c r="A1261" t="s">
        <v>6</v>
      </c>
      <c r="B1261">
        <v>0</v>
      </c>
      <c r="C1261">
        <v>0.181499958435694</v>
      </c>
      <c r="D1261">
        <v>7002</v>
      </c>
      <c r="E1261">
        <v>63.885457992553697</v>
      </c>
    </row>
    <row r="1262" spans="1:5" x14ac:dyDescent="0.25">
      <c r="A1262" t="s">
        <v>5</v>
      </c>
      <c r="B1262">
        <v>1</v>
      </c>
      <c r="C1262">
        <v>0.16519440352916701</v>
      </c>
      <c r="D1262">
        <v>6960</v>
      </c>
      <c r="E1262">
        <v>111.505940198898</v>
      </c>
    </row>
    <row r="1263" spans="1:5" x14ac:dyDescent="0.25">
      <c r="A1263" t="s">
        <v>6</v>
      </c>
      <c r="B1263">
        <v>1</v>
      </c>
      <c r="C1263">
        <v>0.15733329494794199</v>
      </c>
      <c r="D1263">
        <v>7002</v>
      </c>
      <c r="E1263">
        <v>63.772774696350098</v>
      </c>
    </row>
    <row r="1264" spans="1:5" x14ac:dyDescent="0.25">
      <c r="A1264" t="s">
        <v>5</v>
      </c>
      <c r="B1264">
        <v>2</v>
      </c>
      <c r="C1264">
        <v>0.14227773447831399</v>
      </c>
      <c r="D1264">
        <v>6960</v>
      </c>
      <c r="E1264">
        <v>111.711079835891</v>
      </c>
    </row>
    <row r="1265" spans="1:5" x14ac:dyDescent="0.25">
      <c r="A1265" t="s">
        <v>6</v>
      </c>
      <c r="B1265">
        <v>2</v>
      </c>
      <c r="C1265">
        <v>0.13199995776017501</v>
      </c>
      <c r="D1265">
        <v>7002</v>
      </c>
      <c r="E1265">
        <v>63.4727172851562</v>
      </c>
    </row>
    <row r="1266" spans="1:5" x14ac:dyDescent="0.25">
      <c r="A1266" t="s">
        <v>5</v>
      </c>
      <c r="B1266">
        <v>3</v>
      </c>
      <c r="C1266">
        <v>0.118749960462252</v>
      </c>
      <c r="D1266">
        <v>6960</v>
      </c>
      <c r="E1266">
        <v>111.582523822784</v>
      </c>
    </row>
    <row r="1267" spans="1:5" x14ac:dyDescent="0.25">
      <c r="A1267" t="s">
        <v>6</v>
      </c>
      <c r="B1267">
        <v>3</v>
      </c>
      <c r="C1267">
        <v>0.11119440197944599</v>
      </c>
      <c r="D1267">
        <v>7002</v>
      </c>
      <c r="E1267">
        <v>63.487477540969799</v>
      </c>
    </row>
    <row r="1268" spans="1:5" x14ac:dyDescent="0.25">
      <c r="A1268" t="s">
        <v>5</v>
      </c>
      <c r="B1268">
        <v>4</v>
      </c>
      <c r="C1268">
        <v>9.9499957958857202E-2</v>
      </c>
      <c r="D1268">
        <v>6960</v>
      </c>
      <c r="E1268">
        <v>111.982549905776</v>
      </c>
    </row>
    <row r="1269" spans="1:5" x14ac:dyDescent="0.25">
      <c r="A1269" t="s">
        <v>6</v>
      </c>
      <c r="B1269">
        <v>4</v>
      </c>
      <c r="C1269">
        <v>8.6444403131802794E-2</v>
      </c>
      <c r="D1269">
        <v>7002</v>
      </c>
      <c r="E1269">
        <v>63.604049444198601</v>
      </c>
    </row>
    <row r="1270" spans="1:5" x14ac:dyDescent="0.25">
      <c r="A1270" t="s">
        <v>5</v>
      </c>
      <c r="B1270">
        <v>5</v>
      </c>
      <c r="C1270">
        <v>7.6499956250190695E-2</v>
      </c>
      <c r="D1270">
        <v>6960</v>
      </c>
      <c r="E1270">
        <v>111.981634616851</v>
      </c>
    </row>
    <row r="1271" spans="1:5" x14ac:dyDescent="0.25">
      <c r="A1271" t="s">
        <v>6</v>
      </c>
      <c r="B1271">
        <v>5</v>
      </c>
      <c r="C1271">
        <v>6.4111065665880804E-2</v>
      </c>
      <c r="D1271">
        <v>7002</v>
      </c>
      <c r="E1271">
        <v>63.522631645202601</v>
      </c>
    </row>
    <row r="1272" spans="1:5" x14ac:dyDescent="0.25">
      <c r="A1272" t="s">
        <v>5</v>
      </c>
      <c r="B1272">
        <v>6</v>
      </c>
      <c r="C1272">
        <v>6.2749955852826403E-2</v>
      </c>
      <c r="D1272">
        <v>6960</v>
      </c>
      <c r="E1272">
        <v>111.698071718215</v>
      </c>
    </row>
    <row r="1273" spans="1:5" x14ac:dyDescent="0.25">
      <c r="A1273" t="s">
        <v>6</v>
      </c>
      <c r="B1273">
        <v>6</v>
      </c>
      <c r="C1273">
        <v>4.5861071348190299E-2</v>
      </c>
      <c r="D1273">
        <v>7002</v>
      </c>
      <c r="E1273">
        <v>63.7239542007446</v>
      </c>
    </row>
    <row r="1274" spans="1:5" x14ac:dyDescent="0.25">
      <c r="A1274" t="s">
        <v>5</v>
      </c>
      <c r="B1274">
        <v>8</v>
      </c>
      <c r="C1274">
        <v>3.8249962727228803E-2</v>
      </c>
      <c r="D1274">
        <v>6960</v>
      </c>
      <c r="E1274">
        <v>111.919293642044</v>
      </c>
    </row>
    <row r="1275" spans="1:5" x14ac:dyDescent="0.25">
      <c r="A1275" t="s">
        <v>6</v>
      </c>
      <c r="B1275">
        <v>8</v>
      </c>
      <c r="C1275">
        <v>2.2888857722282399E-2</v>
      </c>
      <c r="D1275">
        <v>7002</v>
      </c>
      <c r="E1275">
        <v>63.471829414367598</v>
      </c>
    </row>
    <row r="1276" spans="1:5" x14ac:dyDescent="0.25">
      <c r="A1276" t="s">
        <v>5</v>
      </c>
      <c r="B1276">
        <v>9</v>
      </c>
      <c r="C1276">
        <v>2.2555528680483501E-2</v>
      </c>
      <c r="D1276">
        <v>6960</v>
      </c>
      <c r="E1276">
        <v>111.676842927932</v>
      </c>
    </row>
    <row r="1277" spans="1:5" x14ac:dyDescent="0.25">
      <c r="A1277" t="s">
        <v>6</v>
      </c>
      <c r="B1277">
        <v>9</v>
      </c>
      <c r="C1277">
        <v>1.49444212516148E-2</v>
      </c>
      <c r="D1277">
        <v>7002</v>
      </c>
      <c r="E1277">
        <v>63.904133319854701</v>
      </c>
    </row>
    <row r="1278" spans="1:5" x14ac:dyDescent="0.25">
      <c r="A1278" t="s">
        <v>5</v>
      </c>
      <c r="B1278">
        <v>10</v>
      </c>
      <c r="C1278">
        <v>1.1749982833862299E-2</v>
      </c>
      <c r="D1278">
        <v>6960</v>
      </c>
      <c r="E1278">
        <v>111.64882063865601</v>
      </c>
    </row>
    <row r="1279" spans="1:5" x14ac:dyDescent="0.25">
      <c r="A1279" t="s">
        <v>6</v>
      </c>
      <c r="B1279">
        <v>10</v>
      </c>
      <c r="C1279">
        <v>1.06110932429631E-2</v>
      </c>
      <c r="D1279">
        <v>7002</v>
      </c>
      <c r="E1279">
        <v>63.655093669891301</v>
      </c>
    </row>
    <row r="1280" spans="1:5" x14ac:dyDescent="0.25">
      <c r="A1280" t="s">
        <v>5</v>
      </c>
      <c r="B1280">
        <v>11</v>
      </c>
      <c r="C1280">
        <v>5.6388801336288404E-3</v>
      </c>
      <c r="D1280">
        <v>6960</v>
      </c>
      <c r="E1280">
        <v>111.610284090042</v>
      </c>
    </row>
    <row r="1281" spans="1:5" x14ac:dyDescent="0.25">
      <c r="A1281" t="s">
        <v>6</v>
      </c>
      <c r="B1281">
        <v>11</v>
      </c>
      <c r="C1281">
        <v>5.6944340467453003E-3</v>
      </c>
      <c r="D1281">
        <v>7002</v>
      </c>
      <c r="E1281">
        <v>63.639505147933903</v>
      </c>
    </row>
    <row r="1282" spans="1:5" x14ac:dyDescent="0.25">
      <c r="A1282" t="s">
        <v>5</v>
      </c>
      <c r="B1282">
        <v>12</v>
      </c>
      <c r="C1282">
        <v>2.0138816038767402E-3</v>
      </c>
      <c r="D1282">
        <v>6960</v>
      </c>
      <c r="E1282">
        <v>128.83369827270499</v>
      </c>
    </row>
    <row r="1283" spans="1:5" x14ac:dyDescent="0.25">
      <c r="A1283" t="s">
        <v>6</v>
      </c>
      <c r="B1283">
        <v>12</v>
      </c>
      <c r="C1283">
        <v>2.2916553417841501E-3</v>
      </c>
      <c r="D1283">
        <v>7002</v>
      </c>
      <c r="E1283">
        <v>81.970890045166001</v>
      </c>
    </row>
    <row r="1284" spans="1:5" x14ac:dyDescent="0.25">
      <c r="A1284" t="s">
        <v>5</v>
      </c>
      <c r="B1284">
        <v>13</v>
      </c>
      <c r="C1284">
        <v>8.0555260181427004E-4</v>
      </c>
      <c r="D1284">
        <v>6960</v>
      </c>
      <c r="E1284">
        <v>128.343604326248</v>
      </c>
    </row>
    <row r="1285" spans="1:5" x14ac:dyDescent="0.25">
      <c r="A1285" t="s">
        <v>6</v>
      </c>
      <c r="B1285">
        <v>13</v>
      </c>
      <c r="C1285">
        <v>9.861059983571369E-4</v>
      </c>
      <c r="D1285">
        <v>7002</v>
      </c>
      <c r="E1285">
        <v>82.30641913414</v>
      </c>
    </row>
    <row r="1286" spans="1:5" x14ac:dyDescent="0.25">
      <c r="A1286" t="s">
        <v>5</v>
      </c>
      <c r="B1286">
        <v>14</v>
      </c>
      <c r="C1286">
        <v>2.22221612930297E-4</v>
      </c>
      <c r="D1286">
        <v>6960</v>
      </c>
      <c r="E1286">
        <v>164.86077427864001</v>
      </c>
    </row>
    <row r="1287" spans="1:5" x14ac:dyDescent="0.25">
      <c r="A1287" t="s">
        <v>6</v>
      </c>
      <c r="B1287">
        <v>14</v>
      </c>
      <c r="C1287">
        <v>3.8888732592264801E-4</v>
      </c>
      <c r="D1287">
        <v>7002</v>
      </c>
      <c r="E1287">
        <v>98.031585931777897</v>
      </c>
    </row>
    <row r="1288" spans="1:5" x14ac:dyDescent="0.25">
      <c r="A1288" t="s">
        <v>5</v>
      </c>
      <c r="B1288">
        <v>15</v>
      </c>
      <c r="C1288">
        <v>1.01851423581441E-4</v>
      </c>
      <c r="D1288">
        <v>6960</v>
      </c>
      <c r="E1288">
        <v>163.79253554344101</v>
      </c>
    </row>
    <row r="1289" spans="1:5" x14ac:dyDescent="0.25">
      <c r="A1289" t="s">
        <v>6</v>
      </c>
      <c r="B1289">
        <v>15</v>
      </c>
      <c r="C1289">
        <v>2.7777651945749902E-4</v>
      </c>
      <c r="D1289">
        <v>7002</v>
      </c>
      <c r="E1289">
        <v>98.061899900436401</v>
      </c>
    </row>
    <row r="1290" spans="1:5" x14ac:dyDescent="0.25">
      <c r="A1290" t="s">
        <v>5</v>
      </c>
      <c r="B1290">
        <v>16</v>
      </c>
      <c r="C1290" s="1">
        <v>4.6296119689941401E-5</v>
      </c>
      <c r="D1290">
        <v>6960</v>
      </c>
      <c r="E1290">
        <v>164.78876805305401</v>
      </c>
    </row>
    <row r="1291" spans="1:5" x14ac:dyDescent="0.25">
      <c r="A1291" t="s">
        <v>6</v>
      </c>
      <c r="B1291">
        <v>16</v>
      </c>
      <c r="C1291" s="1">
        <v>5.5555105209350501E-5</v>
      </c>
      <c r="D1291">
        <v>7002</v>
      </c>
      <c r="E1291">
        <v>98.5166850090026</v>
      </c>
    </row>
    <row r="1292" spans="1:5" x14ac:dyDescent="0.25">
      <c r="A1292" t="s">
        <v>5</v>
      </c>
      <c r="B1292">
        <v>17</v>
      </c>
      <c r="C1292">
        <v>0</v>
      </c>
      <c r="D1292">
        <v>6960</v>
      </c>
      <c r="E1292">
        <v>162.96743130683899</v>
      </c>
    </row>
    <row r="1293" spans="1:5" x14ac:dyDescent="0.25">
      <c r="A1293" t="s">
        <v>6</v>
      </c>
      <c r="B1293">
        <v>17</v>
      </c>
      <c r="C1293">
        <v>0</v>
      </c>
      <c r="D1293">
        <v>7002</v>
      </c>
      <c r="E1293">
        <v>97.947331190109196</v>
      </c>
    </row>
    <row r="1294" spans="1:5" x14ac:dyDescent="0.25">
      <c r="A1294" t="s">
        <v>5</v>
      </c>
      <c r="B1294">
        <v>0</v>
      </c>
      <c r="C1294">
        <v>0.18524995783964701</v>
      </c>
      <c r="D1294">
        <v>6960</v>
      </c>
      <c r="E1294">
        <v>111.473177194595</v>
      </c>
    </row>
    <row r="1295" spans="1:5" x14ac:dyDescent="0.25">
      <c r="A1295" t="s">
        <v>6</v>
      </c>
      <c r="B1295">
        <v>0</v>
      </c>
      <c r="C1295">
        <v>0.181888847351074</v>
      </c>
      <c r="D1295">
        <v>7002</v>
      </c>
      <c r="E1295">
        <v>63.6896746158599</v>
      </c>
    </row>
    <row r="1296" spans="1:5" x14ac:dyDescent="0.25">
      <c r="A1296" t="s">
        <v>5</v>
      </c>
      <c r="B1296">
        <v>1</v>
      </c>
      <c r="C1296">
        <v>0.16416662414868599</v>
      </c>
      <c r="D1296">
        <v>6960</v>
      </c>
      <c r="E1296">
        <v>111.163496017456</v>
      </c>
    </row>
    <row r="1297" spans="1:5" x14ac:dyDescent="0.25">
      <c r="A1297" t="s">
        <v>6</v>
      </c>
      <c r="B1297">
        <v>1</v>
      </c>
      <c r="C1297">
        <v>0.15547218084335299</v>
      </c>
      <c r="D1297">
        <v>7002</v>
      </c>
      <c r="E1297">
        <v>64.670717000961304</v>
      </c>
    </row>
    <row r="1298" spans="1:5" x14ac:dyDescent="0.25">
      <c r="A1298" t="s">
        <v>5</v>
      </c>
      <c r="B1298">
        <v>2</v>
      </c>
      <c r="C1298">
        <v>0.14458329081535301</v>
      </c>
      <c r="D1298">
        <v>6960</v>
      </c>
      <c r="E1298">
        <v>112.537245750427</v>
      </c>
    </row>
    <row r="1299" spans="1:5" x14ac:dyDescent="0.25">
      <c r="A1299" t="s">
        <v>6</v>
      </c>
      <c r="B1299">
        <v>2</v>
      </c>
      <c r="C1299">
        <v>0.13441662649313599</v>
      </c>
      <c r="D1299">
        <v>7002</v>
      </c>
      <c r="E1299">
        <v>63.520683765411299</v>
      </c>
    </row>
    <row r="1300" spans="1:5" x14ac:dyDescent="0.25">
      <c r="A1300" t="s">
        <v>5</v>
      </c>
      <c r="B1300">
        <v>3</v>
      </c>
      <c r="C1300">
        <v>0.119611070354779</v>
      </c>
      <c r="D1300">
        <v>6960</v>
      </c>
      <c r="E1300">
        <v>111.729622125625</v>
      </c>
    </row>
    <row r="1301" spans="1:5" x14ac:dyDescent="0.25">
      <c r="A1301" t="s">
        <v>6</v>
      </c>
      <c r="B1301">
        <v>3</v>
      </c>
      <c r="C1301">
        <v>0.109277735153834</v>
      </c>
      <c r="D1301">
        <v>7002</v>
      </c>
      <c r="E1301">
        <v>63.8384010791778</v>
      </c>
    </row>
    <row r="1302" spans="1:5" x14ac:dyDescent="0.25">
      <c r="A1302" t="s">
        <v>5</v>
      </c>
      <c r="B1302">
        <v>4</v>
      </c>
      <c r="C1302">
        <v>9.9444403052330002E-2</v>
      </c>
      <c r="D1302">
        <v>6960</v>
      </c>
      <c r="E1302">
        <v>112.111119508743</v>
      </c>
    </row>
    <row r="1303" spans="1:5" x14ac:dyDescent="0.25">
      <c r="A1303" t="s">
        <v>6</v>
      </c>
      <c r="B1303">
        <v>4</v>
      </c>
      <c r="C1303">
        <v>8.6611066261927203E-2</v>
      </c>
      <c r="D1303">
        <v>7002</v>
      </c>
      <c r="E1303">
        <v>63.721810817718499</v>
      </c>
    </row>
    <row r="1304" spans="1:5" x14ac:dyDescent="0.25">
      <c r="A1304" t="s">
        <v>5</v>
      </c>
      <c r="B1304">
        <v>5</v>
      </c>
      <c r="C1304">
        <v>7.8638844490051193E-2</v>
      </c>
      <c r="D1304">
        <v>6960</v>
      </c>
      <c r="E1304">
        <v>111.218763113021</v>
      </c>
    </row>
    <row r="1305" spans="1:5" x14ac:dyDescent="0.25">
      <c r="A1305" t="s">
        <v>6</v>
      </c>
      <c r="B1305">
        <v>5</v>
      </c>
      <c r="C1305">
        <v>6.7055511275927196E-2</v>
      </c>
      <c r="D1305">
        <v>7002</v>
      </c>
      <c r="E1305">
        <v>63.555213928222599</v>
      </c>
    </row>
    <row r="1306" spans="1:5" x14ac:dyDescent="0.25">
      <c r="A1306" t="s">
        <v>5</v>
      </c>
      <c r="B1306">
        <v>6</v>
      </c>
      <c r="C1306">
        <v>5.9861068129539403E-2</v>
      </c>
      <c r="D1306">
        <v>6960</v>
      </c>
      <c r="E1306">
        <v>111.023144483566</v>
      </c>
    </row>
    <row r="1307" spans="1:5" x14ac:dyDescent="0.25">
      <c r="A1307" t="s">
        <v>6</v>
      </c>
      <c r="B1307">
        <v>6</v>
      </c>
      <c r="C1307">
        <v>5.0555513302485103E-2</v>
      </c>
      <c r="D1307">
        <v>7002</v>
      </c>
      <c r="E1307">
        <v>63.8374409675598</v>
      </c>
    </row>
    <row r="1308" spans="1:5" x14ac:dyDescent="0.25">
      <c r="A1308" t="s">
        <v>5</v>
      </c>
      <c r="B1308">
        <v>8</v>
      </c>
      <c r="C1308">
        <v>3.3888853391011498E-2</v>
      </c>
      <c r="D1308">
        <v>6960</v>
      </c>
      <c r="E1308">
        <v>112.228011369705</v>
      </c>
    </row>
    <row r="1309" spans="1:5" x14ac:dyDescent="0.25">
      <c r="A1309" t="s">
        <v>6</v>
      </c>
      <c r="B1309">
        <v>8</v>
      </c>
      <c r="C1309">
        <v>2.1611082951227802E-2</v>
      </c>
      <c r="D1309">
        <v>7002</v>
      </c>
      <c r="E1309">
        <v>63.837422847747803</v>
      </c>
    </row>
    <row r="1310" spans="1:5" x14ac:dyDescent="0.25">
      <c r="A1310" t="s">
        <v>5</v>
      </c>
      <c r="B1310">
        <v>9</v>
      </c>
      <c r="C1310">
        <v>2.0222198565800899E-2</v>
      </c>
      <c r="D1310">
        <v>6960</v>
      </c>
      <c r="E1310">
        <v>111.011729717254</v>
      </c>
    </row>
    <row r="1311" spans="1:5" x14ac:dyDescent="0.25">
      <c r="A1311" t="s">
        <v>6</v>
      </c>
      <c r="B1311">
        <v>9</v>
      </c>
      <c r="C1311">
        <v>1.7472195029258699E-2</v>
      </c>
      <c r="D1311">
        <v>7002</v>
      </c>
      <c r="E1311">
        <v>63.971663236617999</v>
      </c>
    </row>
    <row r="1312" spans="1:5" x14ac:dyDescent="0.25">
      <c r="A1312" t="s">
        <v>5</v>
      </c>
      <c r="B1312">
        <v>10</v>
      </c>
      <c r="C1312">
        <v>1.2527760863304101E-2</v>
      </c>
      <c r="D1312">
        <v>6960</v>
      </c>
      <c r="E1312">
        <v>111.805418491363</v>
      </c>
    </row>
    <row r="1313" spans="1:5" x14ac:dyDescent="0.25">
      <c r="A1313" t="s">
        <v>6</v>
      </c>
      <c r="B1313">
        <v>10</v>
      </c>
      <c r="C1313">
        <v>7.6944309473037696E-3</v>
      </c>
      <c r="D1313">
        <v>7002</v>
      </c>
      <c r="E1313">
        <v>64.2375133037567</v>
      </c>
    </row>
    <row r="1314" spans="1:5" x14ac:dyDescent="0.25">
      <c r="A1314" t="s">
        <v>5</v>
      </c>
      <c r="B1314">
        <v>11</v>
      </c>
      <c r="C1314">
        <v>6.24999205271402E-3</v>
      </c>
      <c r="D1314">
        <v>6960</v>
      </c>
      <c r="E1314">
        <v>113.20896720886201</v>
      </c>
    </row>
    <row r="1315" spans="1:5" x14ac:dyDescent="0.25">
      <c r="A1315" t="s">
        <v>6</v>
      </c>
      <c r="B1315">
        <v>11</v>
      </c>
      <c r="C1315">
        <v>5.6666574875513702E-3</v>
      </c>
      <c r="D1315">
        <v>7002</v>
      </c>
      <c r="E1315">
        <v>63.786663770675602</v>
      </c>
    </row>
    <row r="1316" spans="1:5" x14ac:dyDescent="0.25">
      <c r="A1316" t="s">
        <v>5</v>
      </c>
      <c r="B1316">
        <v>12</v>
      </c>
      <c r="C1316">
        <v>3.05554389953613E-3</v>
      </c>
      <c r="D1316">
        <v>6960</v>
      </c>
      <c r="E1316">
        <v>128.134252309799</v>
      </c>
    </row>
    <row r="1317" spans="1:5" x14ac:dyDescent="0.25">
      <c r="A1317" t="s">
        <v>6</v>
      </c>
      <c r="B1317">
        <v>12</v>
      </c>
      <c r="C1317">
        <v>1.73610190550486E-3</v>
      </c>
      <c r="D1317">
        <v>7002</v>
      </c>
      <c r="E1317">
        <v>82.271013021469102</v>
      </c>
    </row>
    <row r="1318" spans="1:5" x14ac:dyDescent="0.25">
      <c r="A1318" t="s">
        <v>5</v>
      </c>
      <c r="B1318">
        <v>13</v>
      </c>
      <c r="C1318">
        <v>6.11108342806498E-4</v>
      </c>
      <c r="D1318">
        <v>6960</v>
      </c>
      <c r="E1318">
        <v>128.139640331268</v>
      </c>
    </row>
    <row r="1319" spans="1:5" x14ac:dyDescent="0.25">
      <c r="A1319" t="s">
        <v>6</v>
      </c>
      <c r="B1319">
        <v>13</v>
      </c>
      <c r="C1319">
        <v>5.9721926848093601E-4</v>
      </c>
      <c r="D1319">
        <v>7002</v>
      </c>
      <c r="E1319">
        <v>81.919961690902696</v>
      </c>
    </row>
    <row r="1320" spans="1:5" x14ac:dyDescent="0.25">
      <c r="A1320" t="s">
        <v>5</v>
      </c>
      <c r="B1320">
        <v>14</v>
      </c>
      <c r="C1320">
        <v>2.8703590234120598E-4</v>
      </c>
      <c r="D1320">
        <v>6960</v>
      </c>
      <c r="E1320">
        <v>165.48958468437101</v>
      </c>
    </row>
    <row r="1321" spans="1:5" x14ac:dyDescent="0.25">
      <c r="A1321" t="s">
        <v>6</v>
      </c>
      <c r="B1321">
        <v>14</v>
      </c>
      <c r="C1321">
        <v>4.5370181401570601E-4</v>
      </c>
      <c r="D1321">
        <v>7002</v>
      </c>
      <c r="E1321">
        <v>97.713775157928396</v>
      </c>
    </row>
    <row r="1322" spans="1:5" x14ac:dyDescent="0.25">
      <c r="A1322" t="s">
        <v>5</v>
      </c>
      <c r="B1322">
        <v>15</v>
      </c>
      <c r="C1322" s="1">
        <v>9.2592438062031999E-5</v>
      </c>
      <c r="D1322">
        <v>6960</v>
      </c>
      <c r="E1322">
        <v>163.25531315803499</v>
      </c>
    </row>
    <row r="1323" spans="1:5" x14ac:dyDescent="0.25">
      <c r="A1323" t="s">
        <v>6</v>
      </c>
      <c r="B1323">
        <v>15</v>
      </c>
      <c r="C1323">
        <v>1.38888160387674E-4</v>
      </c>
      <c r="D1323">
        <v>7002</v>
      </c>
      <c r="E1323">
        <v>97.788783311843801</v>
      </c>
    </row>
    <row r="1324" spans="1:5" x14ac:dyDescent="0.25">
      <c r="A1324" t="s">
        <v>5</v>
      </c>
      <c r="B1324">
        <v>16</v>
      </c>
      <c r="C1324" s="1">
        <v>6.4814488093058206E-5</v>
      </c>
      <c r="D1324">
        <v>6960</v>
      </c>
      <c r="E1324">
        <v>163.54146361350999</v>
      </c>
    </row>
    <row r="1325" spans="1:5" x14ac:dyDescent="0.25">
      <c r="A1325" t="s">
        <v>6</v>
      </c>
      <c r="B1325">
        <v>16</v>
      </c>
      <c r="C1325" s="1">
        <v>5.5555502573648997E-5</v>
      </c>
      <c r="D1325">
        <v>7002</v>
      </c>
      <c r="E1325">
        <v>97.893970251083303</v>
      </c>
    </row>
    <row r="1326" spans="1:5" x14ac:dyDescent="0.25">
      <c r="A1326" t="s">
        <v>5</v>
      </c>
      <c r="B1326">
        <v>17</v>
      </c>
      <c r="C1326" s="1">
        <v>4.6296119689941401E-5</v>
      </c>
      <c r="D1326">
        <v>6960</v>
      </c>
      <c r="E1326">
        <v>163.636016368865</v>
      </c>
    </row>
    <row r="1327" spans="1:5" x14ac:dyDescent="0.25">
      <c r="A1327" t="s">
        <v>6</v>
      </c>
      <c r="B1327">
        <v>17</v>
      </c>
      <c r="C1327" s="1">
        <v>3.7036736806233697E-5</v>
      </c>
      <c r="D1327">
        <v>7002</v>
      </c>
      <c r="E1327">
        <v>97.9471368789672</v>
      </c>
    </row>
    <row r="1328" spans="1:5" x14ac:dyDescent="0.25">
      <c r="A1328" t="s">
        <v>5</v>
      </c>
      <c r="B1328">
        <v>0</v>
      </c>
      <c r="C1328">
        <v>0.188638847072919</v>
      </c>
      <c r="D1328">
        <v>6960</v>
      </c>
      <c r="E1328">
        <v>112.873226642608</v>
      </c>
    </row>
    <row r="1329" spans="1:5" x14ac:dyDescent="0.25">
      <c r="A1329" t="s">
        <v>6</v>
      </c>
      <c r="B1329">
        <v>0</v>
      </c>
      <c r="C1329">
        <v>0.18188884754975601</v>
      </c>
      <c r="D1329">
        <v>7002</v>
      </c>
      <c r="E1329">
        <v>64.037358760833698</v>
      </c>
    </row>
    <row r="1330" spans="1:5" x14ac:dyDescent="0.25">
      <c r="A1330" t="s">
        <v>5</v>
      </c>
      <c r="B1330">
        <v>1</v>
      </c>
      <c r="C1330">
        <v>0.16477773706118201</v>
      </c>
      <c r="D1330">
        <v>6960</v>
      </c>
      <c r="E1330">
        <v>112.31272816658</v>
      </c>
    </row>
    <row r="1331" spans="1:5" x14ac:dyDescent="0.25">
      <c r="A1331" t="s">
        <v>6</v>
      </c>
      <c r="B1331">
        <v>1</v>
      </c>
      <c r="C1331">
        <v>0.15616662581761601</v>
      </c>
      <c r="D1331">
        <v>7002</v>
      </c>
      <c r="E1331">
        <v>63.3551571369171</v>
      </c>
    </row>
    <row r="1332" spans="1:5" x14ac:dyDescent="0.25">
      <c r="A1332" t="s">
        <v>5</v>
      </c>
      <c r="B1332">
        <v>2</v>
      </c>
      <c r="C1332">
        <v>0.14299995859463999</v>
      </c>
      <c r="D1332">
        <v>6960</v>
      </c>
      <c r="E1332">
        <v>112.04175138473499</v>
      </c>
    </row>
    <row r="1333" spans="1:5" x14ac:dyDescent="0.25">
      <c r="A1333" t="s">
        <v>6</v>
      </c>
      <c r="B1333">
        <v>2</v>
      </c>
      <c r="C1333">
        <v>0.132833291888237</v>
      </c>
      <c r="D1333">
        <v>7002</v>
      </c>
      <c r="E1333">
        <v>63.587434530258101</v>
      </c>
    </row>
    <row r="1334" spans="1:5" x14ac:dyDescent="0.25">
      <c r="A1334" t="s">
        <v>5</v>
      </c>
      <c r="B1334">
        <v>3</v>
      </c>
      <c r="C1334">
        <v>0.118333292603492</v>
      </c>
      <c r="D1334">
        <v>6960</v>
      </c>
      <c r="E1334">
        <v>112.20798254013</v>
      </c>
    </row>
    <row r="1335" spans="1:5" x14ac:dyDescent="0.25">
      <c r="A1335" t="s">
        <v>6</v>
      </c>
      <c r="B1335">
        <v>3</v>
      </c>
      <c r="C1335">
        <v>0.11083329041798901</v>
      </c>
      <c r="D1335">
        <v>7002</v>
      </c>
      <c r="E1335">
        <v>63.787489652633603</v>
      </c>
    </row>
    <row r="1336" spans="1:5" x14ac:dyDescent="0.25">
      <c r="A1336" t="s">
        <v>5</v>
      </c>
      <c r="B1336">
        <v>4</v>
      </c>
      <c r="C1336">
        <v>0.10033329129219</v>
      </c>
      <c r="D1336">
        <v>6960</v>
      </c>
      <c r="E1336">
        <v>111.37451934814401</v>
      </c>
    </row>
    <row r="1337" spans="1:5" x14ac:dyDescent="0.25">
      <c r="A1337" t="s">
        <v>6</v>
      </c>
      <c r="B1337">
        <v>4</v>
      </c>
      <c r="C1337">
        <v>8.5333289504051196E-2</v>
      </c>
      <c r="D1337">
        <v>7002</v>
      </c>
      <c r="E1337">
        <v>63.721744060516301</v>
      </c>
    </row>
    <row r="1338" spans="1:5" x14ac:dyDescent="0.25">
      <c r="A1338" t="s">
        <v>5</v>
      </c>
      <c r="B1338">
        <v>5</v>
      </c>
      <c r="C1338">
        <v>7.9083291689554802E-2</v>
      </c>
      <c r="D1338">
        <v>6960</v>
      </c>
      <c r="E1338">
        <v>111.02062034606899</v>
      </c>
    </row>
    <row r="1339" spans="1:5" x14ac:dyDescent="0.25">
      <c r="A1339" t="s">
        <v>6</v>
      </c>
      <c r="B1339">
        <v>5</v>
      </c>
      <c r="C1339">
        <v>6.7833289901415503E-2</v>
      </c>
      <c r="D1339">
        <v>7002</v>
      </c>
      <c r="E1339">
        <v>63.354367733001702</v>
      </c>
    </row>
    <row r="1340" spans="1:5" x14ac:dyDescent="0.25">
      <c r="A1340" t="s">
        <v>5</v>
      </c>
      <c r="B1340">
        <v>6</v>
      </c>
      <c r="C1340">
        <v>6.1555512150128597E-2</v>
      </c>
      <c r="D1340">
        <v>6960</v>
      </c>
      <c r="E1340">
        <v>111.526353836059</v>
      </c>
    </row>
    <row r="1341" spans="1:5" x14ac:dyDescent="0.25">
      <c r="A1341" t="s">
        <v>6</v>
      </c>
      <c r="B1341">
        <v>6</v>
      </c>
      <c r="C1341">
        <v>4.9805513421694397E-2</v>
      </c>
      <c r="D1341">
        <v>7002</v>
      </c>
      <c r="E1341">
        <v>63.302817344665499</v>
      </c>
    </row>
    <row r="1342" spans="1:5" x14ac:dyDescent="0.25">
      <c r="A1342" t="s">
        <v>5</v>
      </c>
      <c r="B1342">
        <v>8</v>
      </c>
      <c r="C1342">
        <v>3.6611074209213203E-2</v>
      </c>
      <c r="D1342">
        <v>6960</v>
      </c>
      <c r="E1342">
        <v>111.560897350311</v>
      </c>
    </row>
    <row r="1343" spans="1:5" x14ac:dyDescent="0.25">
      <c r="A1343" t="s">
        <v>6</v>
      </c>
      <c r="B1343">
        <v>8</v>
      </c>
      <c r="C1343">
        <v>2.5972189108530601E-2</v>
      </c>
      <c r="D1343">
        <v>7002</v>
      </c>
      <c r="E1343">
        <v>64.0382754802703</v>
      </c>
    </row>
    <row r="1344" spans="1:5" x14ac:dyDescent="0.25">
      <c r="A1344" t="s">
        <v>5</v>
      </c>
      <c r="B1344">
        <v>9</v>
      </c>
      <c r="C1344">
        <v>2.2527751525243101E-2</v>
      </c>
      <c r="D1344">
        <v>6960</v>
      </c>
      <c r="E1344">
        <v>111.838981628417</v>
      </c>
    </row>
    <row r="1345" spans="1:5" x14ac:dyDescent="0.25">
      <c r="A1345" t="s">
        <v>6</v>
      </c>
      <c r="B1345">
        <v>9</v>
      </c>
      <c r="C1345">
        <v>1.5527752439180999E-2</v>
      </c>
      <c r="D1345">
        <v>7002</v>
      </c>
      <c r="E1345">
        <v>63.604171514511101</v>
      </c>
    </row>
    <row r="1346" spans="1:5" x14ac:dyDescent="0.25">
      <c r="A1346" t="s">
        <v>5</v>
      </c>
      <c r="B1346">
        <v>10</v>
      </c>
      <c r="C1346">
        <v>1.25277604659398E-2</v>
      </c>
      <c r="D1346">
        <v>6960</v>
      </c>
      <c r="E1346">
        <v>111.16074490547101</v>
      </c>
    </row>
    <row r="1347" spans="1:5" x14ac:dyDescent="0.25">
      <c r="A1347" t="s">
        <v>6</v>
      </c>
      <c r="B1347">
        <v>10</v>
      </c>
      <c r="C1347">
        <v>1.0916647315025301E-2</v>
      </c>
      <c r="D1347">
        <v>7002</v>
      </c>
      <c r="E1347">
        <v>63.805122613906804</v>
      </c>
    </row>
    <row r="1348" spans="1:5" x14ac:dyDescent="0.25">
      <c r="A1348" t="s">
        <v>5</v>
      </c>
      <c r="B1348">
        <v>11</v>
      </c>
      <c r="C1348">
        <v>6.8888795375823897E-3</v>
      </c>
      <c r="D1348">
        <v>6960</v>
      </c>
      <c r="E1348">
        <v>111.13292527198701</v>
      </c>
    </row>
    <row r="1349" spans="1:5" x14ac:dyDescent="0.25">
      <c r="A1349" t="s">
        <v>6</v>
      </c>
      <c r="B1349">
        <v>11</v>
      </c>
      <c r="C1349">
        <v>6.52776638666788E-3</v>
      </c>
      <c r="D1349">
        <v>7002</v>
      </c>
      <c r="E1349">
        <v>63.901963472366297</v>
      </c>
    </row>
    <row r="1350" spans="1:5" x14ac:dyDescent="0.25">
      <c r="A1350" t="s">
        <v>5</v>
      </c>
      <c r="B1350">
        <v>12</v>
      </c>
      <c r="C1350">
        <v>2.0555480321248301E-3</v>
      </c>
      <c r="D1350">
        <v>6960</v>
      </c>
      <c r="E1350">
        <v>128.58474659919699</v>
      </c>
    </row>
    <row r="1351" spans="1:5" x14ac:dyDescent="0.25">
      <c r="A1351" t="s">
        <v>6</v>
      </c>
      <c r="B1351">
        <v>12</v>
      </c>
      <c r="C1351">
        <v>2.2222119569778398E-3</v>
      </c>
      <c r="D1351">
        <v>7002</v>
      </c>
      <c r="E1351">
        <v>82.3512828350067</v>
      </c>
    </row>
    <row r="1352" spans="1:5" x14ac:dyDescent="0.25">
      <c r="A1352" t="s">
        <v>5</v>
      </c>
      <c r="B1352">
        <v>13</v>
      </c>
      <c r="C1352">
        <v>1.02777342001597E-3</v>
      </c>
      <c r="D1352">
        <v>6960</v>
      </c>
      <c r="E1352">
        <v>127.363674163818</v>
      </c>
    </row>
    <row r="1353" spans="1:5" x14ac:dyDescent="0.25">
      <c r="A1353" t="s">
        <v>6</v>
      </c>
      <c r="B1353">
        <v>13</v>
      </c>
      <c r="C1353">
        <v>1.05554938316345E-3</v>
      </c>
      <c r="D1353">
        <v>7002</v>
      </c>
      <c r="E1353">
        <v>81.236603260040198</v>
      </c>
    </row>
    <row r="1354" spans="1:5" x14ac:dyDescent="0.25">
      <c r="A1354" t="s">
        <v>5</v>
      </c>
      <c r="B1354">
        <v>14</v>
      </c>
      <c r="C1354">
        <v>4.0740668773651099E-4</v>
      </c>
      <c r="D1354">
        <v>6960</v>
      </c>
      <c r="E1354">
        <v>171.13913273811301</v>
      </c>
    </row>
    <row r="1355" spans="1:5" x14ac:dyDescent="0.25">
      <c r="A1355" t="s">
        <v>6</v>
      </c>
      <c r="B1355">
        <v>14</v>
      </c>
      <c r="C1355">
        <v>4.0740549564361502E-4</v>
      </c>
      <c r="D1355">
        <v>7002</v>
      </c>
      <c r="E1355">
        <v>98.133733272552405</v>
      </c>
    </row>
    <row r="1356" spans="1:5" x14ac:dyDescent="0.25">
      <c r="A1356" t="s">
        <v>5</v>
      </c>
      <c r="B1356">
        <v>15</v>
      </c>
      <c r="C1356" s="1">
        <v>2.7777751286824498E-5</v>
      </c>
      <c r="D1356">
        <v>6960</v>
      </c>
      <c r="E1356">
        <v>164.910418033599</v>
      </c>
    </row>
    <row r="1357" spans="1:5" x14ac:dyDescent="0.25">
      <c r="A1357" t="s">
        <v>6</v>
      </c>
      <c r="B1357">
        <v>15</v>
      </c>
      <c r="C1357" s="1">
        <v>5.5555105209350501E-5</v>
      </c>
      <c r="D1357">
        <v>7002</v>
      </c>
      <c r="E1357">
        <v>97.815849065780597</v>
      </c>
    </row>
    <row r="1358" spans="1:5" x14ac:dyDescent="0.25">
      <c r="A1358" t="s">
        <v>5</v>
      </c>
      <c r="B1358">
        <v>16</v>
      </c>
      <c r="C1358" s="1">
        <v>6.4814488093058206E-5</v>
      </c>
      <c r="D1358">
        <v>6960</v>
      </c>
      <c r="E1358">
        <v>162.97422075271601</v>
      </c>
    </row>
    <row r="1359" spans="1:5" x14ac:dyDescent="0.25">
      <c r="A1359" t="s">
        <v>6</v>
      </c>
      <c r="B1359">
        <v>16</v>
      </c>
      <c r="C1359" s="1">
        <v>1.8518368403116801E-5</v>
      </c>
      <c r="D1359">
        <v>7002</v>
      </c>
      <c r="E1359">
        <v>97.782347202300997</v>
      </c>
    </row>
    <row r="1360" spans="1:5" x14ac:dyDescent="0.25">
      <c r="A1360" t="s">
        <v>5</v>
      </c>
      <c r="B1360">
        <v>17</v>
      </c>
      <c r="C1360" s="1">
        <v>4.6296119689941401E-5</v>
      </c>
      <c r="D1360">
        <v>6960</v>
      </c>
      <c r="E1360">
        <v>163.87212562561001</v>
      </c>
    </row>
    <row r="1361" spans="1:5" x14ac:dyDescent="0.25">
      <c r="A1361" t="s">
        <v>6</v>
      </c>
      <c r="B1361">
        <v>17</v>
      </c>
      <c r="C1361">
        <v>0</v>
      </c>
      <c r="D1361">
        <v>7002</v>
      </c>
      <c r="E1361">
        <v>97.697902202606201</v>
      </c>
    </row>
    <row r="1362" spans="1:5" x14ac:dyDescent="0.25">
      <c r="A1362" t="s">
        <v>5</v>
      </c>
      <c r="B1362">
        <v>0</v>
      </c>
      <c r="C1362">
        <v>0.18524995744228301</v>
      </c>
      <c r="D1362">
        <v>6960</v>
      </c>
      <c r="E1362">
        <v>110.725210666656</v>
      </c>
    </row>
    <row r="1363" spans="1:5" x14ac:dyDescent="0.25">
      <c r="A1363" t="s">
        <v>6</v>
      </c>
      <c r="B1363">
        <v>0</v>
      </c>
      <c r="C1363">
        <v>0.179638847708702</v>
      </c>
      <c r="D1363">
        <v>7002</v>
      </c>
      <c r="E1363">
        <v>63.671824932098303</v>
      </c>
    </row>
    <row r="1364" spans="1:5" x14ac:dyDescent="0.25">
      <c r="A1364" t="s">
        <v>5</v>
      </c>
      <c r="B1364">
        <v>1</v>
      </c>
      <c r="C1364">
        <v>0.15902773698170899</v>
      </c>
      <c r="D1364">
        <v>6960</v>
      </c>
      <c r="E1364">
        <v>111.276379823684</v>
      </c>
    </row>
    <row r="1365" spans="1:5" x14ac:dyDescent="0.25">
      <c r="A1365" t="s">
        <v>6</v>
      </c>
      <c r="B1365">
        <v>1</v>
      </c>
      <c r="C1365">
        <v>0.15747218151887199</v>
      </c>
      <c r="D1365">
        <v>7002</v>
      </c>
      <c r="E1365">
        <v>63.737595081329303</v>
      </c>
    </row>
    <row r="1366" spans="1:5" x14ac:dyDescent="0.25">
      <c r="A1366" t="s">
        <v>5</v>
      </c>
      <c r="B1366">
        <v>2</v>
      </c>
      <c r="C1366">
        <v>0.14041662534077901</v>
      </c>
      <c r="D1366">
        <v>6960</v>
      </c>
      <c r="E1366">
        <v>111.36462092399501</v>
      </c>
    </row>
    <row r="1367" spans="1:5" x14ac:dyDescent="0.25">
      <c r="A1367" t="s">
        <v>6</v>
      </c>
      <c r="B1367">
        <v>2</v>
      </c>
      <c r="C1367">
        <v>0.13194440404574001</v>
      </c>
      <c r="D1367">
        <v>7002</v>
      </c>
      <c r="E1367">
        <v>63.337507963180499</v>
      </c>
    </row>
    <row r="1368" spans="1:5" x14ac:dyDescent="0.25">
      <c r="A1368" t="s">
        <v>5</v>
      </c>
      <c r="B1368">
        <v>3</v>
      </c>
      <c r="C1368">
        <v>0.119833291769027</v>
      </c>
      <c r="D1368">
        <v>6960</v>
      </c>
      <c r="E1368">
        <v>111.410061120986</v>
      </c>
    </row>
    <row r="1369" spans="1:5" x14ac:dyDescent="0.25">
      <c r="A1369" t="s">
        <v>6</v>
      </c>
      <c r="B1369">
        <v>3</v>
      </c>
      <c r="C1369">
        <v>0.111249956488609</v>
      </c>
      <c r="D1369">
        <v>7002</v>
      </c>
      <c r="E1369">
        <v>63.655209541320801</v>
      </c>
    </row>
    <row r="1370" spans="1:5" x14ac:dyDescent="0.25">
      <c r="A1370" t="s">
        <v>5</v>
      </c>
      <c r="B1370">
        <v>4</v>
      </c>
      <c r="C1370">
        <v>0.101499957442283</v>
      </c>
      <c r="D1370">
        <v>6960</v>
      </c>
      <c r="E1370">
        <v>112.055363893508</v>
      </c>
    </row>
    <row r="1371" spans="1:5" x14ac:dyDescent="0.25">
      <c r="A1371" t="s">
        <v>6</v>
      </c>
      <c r="B1371">
        <v>4</v>
      </c>
      <c r="C1371">
        <v>9.0055511395136498E-2</v>
      </c>
      <c r="D1371">
        <v>7002</v>
      </c>
      <c r="E1371">
        <v>63.521626234054501</v>
      </c>
    </row>
    <row r="1372" spans="1:5" x14ac:dyDescent="0.25">
      <c r="A1372" t="s">
        <v>5</v>
      </c>
      <c r="B1372">
        <v>5</v>
      </c>
      <c r="C1372">
        <v>8.0166624188423102E-2</v>
      </c>
      <c r="D1372">
        <v>6960</v>
      </c>
      <c r="E1372">
        <v>112.078094959259</v>
      </c>
    </row>
    <row r="1373" spans="1:5" x14ac:dyDescent="0.25">
      <c r="A1373" t="s">
        <v>6</v>
      </c>
      <c r="B1373">
        <v>5</v>
      </c>
      <c r="C1373">
        <v>6.7249957323074303E-2</v>
      </c>
      <c r="D1373">
        <v>7002</v>
      </c>
      <c r="E1373">
        <v>63.421916961669901</v>
      </c>
    </row>
    <row r="1374" spans="1:5" x14ac:dyDescent="0.25">
      <c r="A1374" t="s">
        <v>5</v>
      </c>
      <c r="B1374">
        <v>6</v>
      </c>
      <c r="C1374">
        <v>6.4972178538640304E-2</v>
      </c>
      <c r="D1374">
        <v>6960</v>
      </c>
      <c r="E1374">
        <v>111.13001608848499</v>
      </c>
    </row>
    <row r="1375" spans="1:5" x14ac:dyDescent="0.25">
      <c r="A1375" t="s">
        <v>6</v>
      </c>
      <c r="B1375">
        <v>6</v>
      </c>
      <c r="C1375">
        <v>5.1249957482019999E-2</v>
      </c>
      <c r="D1375">
        <v>7002</v>
      </c>
      <c r="E1375">
        <v>63.320763587951603</v>
      </c>
    </row>
    <row r="1376" spans="1:5" x14ac:dyDescent="0.25">
      <c r="A1376" t="s">
        <v>5</v>
      </c>
      <c r="B1376">
        <v>8</v>
      </c>
      <c r="C1376">
        <v>3.4916631976763403E-2</v>
      </c>
      <c r="D1376">
        <v>6960</v>
      </c>
      <c r="E1376">
        <v>111.021144390106</v>
      </c>
    </row>
    <row r="1377" spans="1:5" x14ac:dyDescent="0.25">
      <c r="A1377" t="s">
        <v>6</v>
      </c>
      <c r="B1377">
        <v>8</v>
      </c>
      <c r="C1377">
        <v>2.5277745922406499E-2</v>
      </c>
      <c r="D1377">
        <v>7002</v>
      </c>
      <c r="E1377">
        <v>63.222741842269897</v>
      </c>
    </row>
    <row r="1378" spans="1:5" x14ac:dyDescent="0.25">
      <c r="A1378" t="s">
        <v>5</v>
      </c>
      <c r="B1378">
        <v>9</v>
      </c>
      <c r="C1378">
        <v>2.21666411558787E-2</v>
      </c>
      <c r="D1378">
        <v>6960</v>
      </c>
      <c r="E1378">
        <v>111.74765467643699</v>
      </c>
    </row>
    <row r="1379" spans="1:5" x14ac:dyDescent="0.25">
      <c r="A1379" t="s">
        <v>6</v>
      </c>
      <c r="B1379">
        <v>9</v>
      </c>
      <c r="C1379">
        <v>1.6333305835723799E-2</v>
      </c>
      <c r="D1379">
        <v>7002</v>
      </c>
      <c r="E1379">
        <v>63.7562575340271</v>
      </c>
    </row>
    <row r="1380" spans="1:5" x14ac:dyDescent="0.25">
      <c r="A1380" t="s">
        <v>5</v>
      </c>
      <c r="B1380">
        <v>10</v>
      </c>
      <c r="C1380">
        <v>1.33055382966995E-2</v>
      </c>
      <c r="D1380">
        <v>6960</v>
      </c>
      <c r="E1380">
        <v>112.369510412216</v>
      </c>
    </row>
    <row r="1381" spans="1:5" x14ac:dyDescent="0.25">
      <c r="A1381" t="s">
        <v>6</v>
      </c>
      <c r="B1381">
        <v>10</v>
      </c>
      <c r="C1381">
        <v>9.4166489442189492E-3</v>
      </c>
      <c r="D1381">
        <v>7002</v>
      </c>
      <c r="E1381">
        <v>63.638467311859102</v>
      </c>
    </row>
    <row r="1382" spans="1:5" x14ac:dyDescent="0.25">
      <c r="A1382" t="s">
        <v>5</v>
      </c>
      <c r="B1382">
        <v>11</v>
      </c>
      <c r="C1382">
        <v>6.4444359143575004E-3</v>
      </c>
      <c r="D1382">
        <v>6960</v>
      </c>
      <c r="E1382">
        <v>111.328599929809</v>
      </c>
    </row>
    <row r="1383" spans="1:5" x14ac:dyDescent="0.25">
      <c r="A1383" t="s">
        <v>6</v>
      </c>
      <c r="B1383">
        <v>11</v>
      </c>
      <c r="C1383">
        <v>4.2499917745590201E-3</v>
      </c>
      <c r="D1383">
        <v>7002</v>
      </c>
      <c r="E1383">
        <v>63.671934127807603</v>
      </c>
    </row>
    <row r="1384" spans="1:5" x14ac:dyDescent="0.25">
      <c r="A1384" t="s">
        <v>5</v>
      </c>
      <c r="B1384">
        <v>12</v>
      </c>
      <c r="C1384">
        <v>1.63888216018676E-3</v>
      </c>
      <c r="D1384">
        <v>6960</v>
      </c>
      <c r="E1384">
        <v>127.683962106704</v>
      </c>
    </row>
    <row r="1385" spans="1:5" x14ac:dyDescent="0.25">
      <c r="A1385" t="s">
        <v>6</v>
      </c>
      <c r="B1385">
        <v>12</v>
      </c>
      <c r="C1385">
        <v>2.3333225647608402E-3</v>
      </c>
      <c r="D1385">
        <v>7002</v>
      </c>
      <c r="E1385">
        <v>82.0189981460571</v>
      </c>
    </row>
    <row r="1386" spans="1:5" x14ac:dyDescent="0.25">
      <c r="A1386" t="s">
        <v>5</v>
      </c>
      <c r="B1386">
        <v>13</v>
      </c>
      <c r="C1386">
        <v>1.0555519660313899E-3</v>
      </c>
      <c r="D1386">
        <v>6960</v>
      </c>
      <c r="E1386">
        <v>128.62878203392</v>
      </c>
    </row>
    <row r="1387" spans="1:5" x14ac:dyDescent="0.25">
      <c r="A1387" t="s">
        <v>6</v>
      </c>
      <c r="B1387">
        <v>13</v>
      </c>
      <c r="C1387">
        <v>9.8610520362853995E-4</v>
      </c>
      <c r="D1387">
        <v>7002</v>
      </c>
      <c r="E1387">
        <v>82.204343557357703</v>
      </c>
    </row>
    <row r="1388" spans="1:5" x14ac:dyDescent="0.25">
      <c r="A1388" t="s">
        <v>5</v>
      </c>
      <c r="B1388">
        <v>14</v>
      </c>
      <c r="C1388">
        <v>5.5555423100789303E-4</v>
      </c>
      <c r="D1388">
        <v>6960</v>
      </c>
      <c r="E1388">
        <v>165.015020370483</v>
      </c>
    </row>
    <row r="1389" spans="1:5" x14ac:dyDescent="0.25">
      <c r="A1389" t="s">
        <v>6</v>
      </c>
      <c r="B1389">
        <v>14</v>
      </c>
      <c r="C1389">
        <v>2.9629488786061598E-4</v>
      </c>
      <c r="D1389">
        <v>7002</v>
      </c>
      <c r="E1389">
        <v>98.199091911315904</v>
      </c>
    </row>
    <row r="1390" spans="1:5" x14ac:dyDescent="0.25">
      <c r="A1390" t="s">
        <v>5</v>
      </c>
      <c r="B1390">
        <v>15</v>
      </c>
      <c r="C1390">
        <v>1.2962937355041499E-4</v>
      </c>
      <c r="D1390">
        <v>6960</v>
      </c>
      <c r="E1390">
        <v>163.96825575828501</v>
      </c>
    </row>
    <row r="1391" spans="1:5" x14ac:dyDescent="0.25">
      <c r="A1391" t="s">
        <v>6</v>
      </c>
      <c r="B1391">
        <v>15</v>
      </c>
      <c r="C1391" s="1">
        <v>9.2592040697733497E-5</v>
      </c>
      <c r="D1391">
        <v>7002</v>
      </c>
      <c r="E1391">
        <v>97.788869619369507</v>
      </c>
    </row>
    <row r="1392" spans="1:5" x14ac:dyDescent="0.25">
      <c r="A1392" t="s">
        <v>5</v>
      </c>
      <c r="B1392">
        <v>16</v>
      </c>
      <c r="C1392" s="1">
        <v>3.7036736806233697E-5</v>
      </c>
      <c r="D1392">
        <v>6960</v>
      </c>
      <c r="E1392">
        <v>163.26050901412901</v>
      </c>
    </row>
    <row r="1393" spans="1:5" x14ac:dyDescent="0.25">
      <c r="A1393" t="s">
        <v>6</v>
      </c>
      <c r="B1393">
        <v>16</v>
      </c>
      <c r="C1393" s="1">
        <v>1.8518368403116801E-5</v>
      </c>
      <c r="D1393">
        <v>7002</v>
      </c>
      <c r="E1393">
        <v>98.048074007034302</v>
      </c>
    </row>
    <row r="1394" spans="1:5" x14ac:dyDescent="0.25">
      <c r="A1394" t="s">
        <v>5</v>
      </c>
      <c r="B1394">
        <v>17</v>
      </c>
      <c r="C1394" s="1">
        <v>1.8518368403116801E-5</v>
      </c>
      <c r="D1394">
        <v>6960</v>
      </c>
      <c r="E1394">
        <v>163.26283836364701</v>
      </c>
    </row>
    <row r="1395" spans="1:5" x14ac:dyDescent="0.25">
      <c r="A1395" t="s">
        <v>6</v>
      </c>
      <c r="B1395">
        <v>17</v>
      </c>
      <c r="C1395" s="1">
        <v>3.7036935488382901E-5</v>
      </c>
      <c r="D1395">
        <v>7002</v>
      </c>
      <c r="E1395">
        <v>98.170930624008093</v>
      </c>
    </row>
    <row r="1396" spans="1:5" x14ac:dyDescent="0.25">
      <c r="A1396" t="s">
        <v>5</v>
      </c>
      <c r="B1396">
        <v>0</v>
      </c>
      <c r="C1396">
        <v>0.187694402138392</v>
      </c>
      <c r="D1396">
        <v>6960</v>
      </c>
      <c r="E1396">
        <v>111.802747011184</v>
      </c>
    </row>
    <row r="1397" spans="1:5" x14ac:dyDescent="0.25">
      <c r="A1397" t="s">
        <v>6</v>
      </c>
      <c r="B1397">
        <v>0</v>
      </c>
      <c r="C1397">
        <v>0.17897218147913599</v>
      </c>
      <c r="D1397">
        <v>7002</v>
      </c>
      <c r="E1397">
        <v>63.605154037475501</v>
      </c>
    </row>
    <row r="1398" spans="1:5" x14ac:dyDescent="0.25">
      <c r="A1398" t="s">
        <v>5</v>
      </c>
      <c r="B1398">
        <v>1</v>
      </c>
      <c r="C1398">
        <v>0.16249995827674801</v>
      </c>
      <c r="D1398">
        <v>6960</v>
      </c>
      <c r="E1398">
        <v>111.94432353973301</v>
      </c>
    </row>
    <row r="1399" spans="1:5" x14ac:dyDescent="0.25">
      <c r="A1399" t="s">
        <v>6</v>
      </c>
      <c r="B1399">
        <v>1</v>
      </c>
      <c r="C1399">
        <v>0.155972181757291</v>
      </c>
      <c r="D1399">
        <v>7002</v>
      </c>
      <c r="E1399">
        <v>63.771871805190997</v>
      </c>
    </row>
    <row r="1400" spans="1:5" x14ac:dyDescent="0.25">
      <c r="A1400" t="s">
        <v>5</v>
      </c>
      <c r="B1400">
        <v>2</v>
      </c>
      <c r="C1400">
        <v>0.14433329204718201</v>
      </c>
      <c r="D1400">
        <v>6960</v>
      </c>
      <c r="E1400">
        <v>112.25654006004299</v>
      </c>
    </row>
    <row r="1401" spans="1:5" x14ac:dyDescent="0.25">
      <c r="A1401" t="s">
        <v>6</v>
      </c>
      <c r="B1401">
        <v>2</v>
      </c>
      <c r="C1401">
        <v>0.131694403290748</v>
      </c>
      <c r="D1401">
        <v>7002</v>
      </c>
      <c r="E1401">
        <v>64.052909135818396</v>
      </c>
    </row>
    <row r="1402" spans="1:5" x14ac:dyDescent="0.25">
      <c r="A1402" t="s">
        <v>5</v>
      </c>
      <c r="B1402">
        <v>3</v>
      </c>
      <c r="C1402">
        <v>0.123055515090624</v>
      </c>
      <c r="D1402">
        <v>6960</v>
      </c>
      <c r="E1402">
        <v>112.284026384353</v>
      </c>
    </row>
    <row r="1403" spans="1:5" x14ac:dyDescent="0.25">
      <c r="A1403" t="s">
        <v>6</v>
      </c>
      <c r="B1403">
        <v>3</v>
      </c>
      <c r="C1403">
        <v>0.10855551342169401</v>
      </c>
      <c r="D1403">
        <v>7002</v>
      </c>
      <c r="E1403">
        <v>63.588531255722003</v>
      </c>
    </row>
    <row r="1404" spans="1:5" x14ac:dyDescent="0.25">
      <c r="A1404" t="s">
        <v>5</v>
      </c>
      <c r="B1404">
        <v>4</v>
      </c>
      <c r="C1404">
        <v>9.97221795717875E-2</v>
      </c>
      <c r="D1404">
        <v>6960</v>
      </c>
      <c r="E1404">
        <v>111.624482393264</v>
      </c>
    </row>
    <row r="1405" spans="1:5" x14ac:dyDescent="0.25">
      <c r="A1405" t="s">
        <v>6</v>
      </c>
      <c r="B1405">
        <v>4</v>
      </c>
      <c r="C1405">
        <v>8.6583289305369002E-2</v>
      </c>
      <c r="D1405">
        <v>7002</v>
      </c>
      <c r="E1405">
        <v>63.753052473068202</v>
      </c>
    </row>
    <row r="1406" spans="1:5" x14ac:dyDescent="0.25">
      <c r="A1406" t="s">
        <v>5</v>
      </c>
      <c r="B1406">
        <v>5</v>
      </c>
      <c r="C1406">
        <v>8.0555510123570706E-2</v>
      </c>
      <c r="D1406">
        <v>6960</v>
      </c>
      <c r="E1406">
        <v>112.31678414344699</v>
      </c>
    </row>
    <row r="1407" spans="1:5" x14ac:dyDescent="0.25">
      <c r="A1407" t="s">
        <v>6</v>
      </c>
      <c r="B1407">
        <v>5</v>
      </c>
      <c r="C1407">
        <v>6.5666624903678805E-2</v>
      </c>
      <c r="D1407">
        <v>7002</v>
      </c>
      <c r="E1407">
        <v>64.388525009155202</v>
      </c>
    </row>
    <row r="1408" spans="1:5" x14ac:dyDescent="0.25">
      <c r="A1408" t="s">
        <v>5</v>
      </c>
      <c r="B1408">
        <v>6</v>
      </c>
      <c r="C1408">
        <v>6.1805512110392202E-2</v>
      </c>
      <c r="D1408">
        <v>6960</v>
      </c>
      <c r="E1408">
        <v>112.15335035324</v>
      </c>
    </row>
    <row r="1409" spans="1:5" x14ac:dyDescent="0.25">
      <c r="A1409" t="s">
        <v>6</v>
      </c>
      <c r="B1409">
        <v>6</v>
      </c>
      <c r="C1409">
        <v>4.7888847788174899E-2</v>
      </c>
      <c r="D1409">
        <v>7002</v>
      </c>
      <c r="E1409">
        <v>64.038533449172903</v>
      </c>
    </row>
    <row r="1410" spans="1:5" x14ac:dyDescent="0.25">
      <c r="A1410" t="s">
        <v>5</v>
      </c>
      <c r="B1410">
        <v>8</v>
      </c>
      <c r="C1410">
        <v>3.5611074964205403E-2</v>
      </c>
      <c r="D1410">
        <v>6960</v>
      </c>
      <c r="E1410">
        <v>111.79292798042199</v>
      </c>
    </row>
    <row r="1411" spans="1:5" x14ac:dyDescent="0.25">
      <c r="A1411" t="s">
        <v>6</v>
      </c>
      <c r="B1411">
        <v>8</v>
      </c>
      <c r="C1411">
        <v>2.29721925656E-2</v>
      </c>
      <c r="D1411">
        <v>7002</v>
      </c>
      <c r="E1411">
        <v>63.405196905136101</v>
      </c>
    </row>
    <row r="1412" spans="1:5" x14ac:dyDescent="0.25">
      <c r="A1412" t="s">
        <v>5</v>
      </c>
      <c r="B1412">
        <v>9</v>
      </c>
      <c r="C1412">
        <v>2.2583306233088098E-2</v>
      </c>
      <c r="D1412">
        <v>6960</v>
      </c>
      <c r="E1412">
        <v>111.971075057983</v>
      </c>
    </row>
    <row r="1413" spans="1:5" x14ac:dyDescent="0.25">
      <c r="A1413" t="s">
        <v>6</v>
      </c>
      <c r="B1413">
        <v>9</v>
      </c>
      <c r="C1413">
        <v>1.8138861656188901E-2</v>
      </c>
      <c r="D1413">
        <v>7002</v>
      </c>
      <c r="E1413">
        <v>63.621682405471802</v>
      </c>
    </row>
    <row r="1414" spans="1:5" x14ac:dyDescent="0.25">
      <c r="A1414" t="s">
        <v>5</v>
      </c>
      <c r="B1414">
        <v>10</v>
      </c>
      <c r="C1414">
        <v>1.3416647911071699E-2</v>
      </c>
      <c r="D1414">
        <v>6960</v>
      </c>
      <c r="E1414">
        <v>111.310024023056</v>
      </c>
    </row>
    <row r="1415" spans="1:5" x14ac:dyDescent="0.25">
      <c r="A1415" t="s">
        <v>6</v>
      </c>
      <c r="B1415">
        <v>10</v>
      </c>
      <c r="C1415">
        <v>1.14444269736607E-2</v>
      </c>
      <c r="D1415">
        <v>7002</v>
      </c>
      <c r="E1415">
        <v>63.437382221221903</v>
      </c>
    </row>
    <row r="1416" spans="1:5" x14ac:dyDescent="0.25">
      <c r="A1416" t="s">
        <v>5</v>
      </c>
      <c r="B1416">
        <v>11</v>
      </c>
      <c r="C1416">
        <v>7.1666562557220403E-3</v>
      </c>
      <c r="D1416">
        <v>6960</v>
      </c>
      <c r="E1416">
        <v>111.99172592163001</v>
      </c>
    </row>
    <row r="1417" spans="1:5" x14ac:dyDescent="0.25">
      <c r="A1417" t="s">
        <v>6</v>
      </c>
      <c r="B1417">
        <v>11</v>
      </c>
      <c r="C1417">
        <v>7.9999850193659405E-3</v>
      </c>
      <c r="D1417">
        <v>7002</v>
      </c>
      <c r="E1417">
        <v>63.603045463561998</v>
      </c>
    </row>
    <row r="1418" spans="1:5" x14ac:dyDescent="0.25">
      <c r="A1418" t="s">
        <v>5</v>
      </c>
      <c r="B1418">
        <v>12</v>
      </c>
      <c r="C1418">
        <v>1.6666609048843299E-3</v>
      </c>
      <c r="D1418">
        <v>6960</v>
      </c>
      <c r="E1418">
        <v>127.80382513999901</v>
      </c>
    </row>
    <row r="1419" spans="1:5" x14ac:dyDescent="0.25">
      <c r="A1419" t="s">
        <v>6</v>
      </c>
      <c r="B1419">
        <v>12</v>
      </c>
      <c r="C1419">
        <v>2.1110995610555002E-3</v>
      </c>
      <c r="D1419">
        <v>7002</v>
      </c>
      <c r="E1419">
        <v>81.845982789993201</v>
      </c>
    </row>
    <row r="1420" spans="1:5" x14ac:dyDescent="0.25">
      <c r="A1420" t="s">
        <v>5</v>
      </c>
      <c r="B1420">
        <v>13</v>
      </c>
      <c r="C1420">
        <v>9.9999547004699704E-4</v>
      </c>
      <c r="D1420">
        <v>6960</v>
      </c>
      <c r="E1420">
        <v>127.358979940414</v>
      </c>
    </row>
    <row r="1421" spans="1:5" x14ac:dyDescent="0.25">
      <c r="A1421" t="s">
        <v>6</v>
      </c>
      <c r="B1421">
        <v>13</v>
      </c>
      <c r="C1421">
        <v>9.7221752007802301E-4</v>
      </c>
      <c r="D1421">
        <v>7002</v>
      </c>
      <c r="E1421">
        <v>82.238752126693697</v>
      </c>
    </row>
    <row r="1422" spans="1:5" x14ac:dyDescent="0.25">
      <c r="A1422" t="s">
        <v>5</v>
      </c>
      <c r="B1422">
        <v>14</v>
      </c>
      <c r="C1422">
        <v>1.29628976186116E-4</v>
      </c>
      <c r="D1422">
        <v>6960</v>
      </c>
      <c r="E1422">
        <v>167.247442245483</v>
      </c>
    </row>
    <row r="1423" spans="1:5" x14ac:dyDescent="0.25">
      <c r="A1423" t="s">
        <v>6</v>
      </c>
      <c r="B1423">
        <v>14</v>
      </c>
      <c r="C1423">
        <v>6.6666384538014703E-4</v>
      </c>
      <c r="D1423">
        <v>7002</v>
      </c>
      <c r="E1423">
        <v>98.315769672393799</v>
      </c>
    </row>
    <row r="1424" spans="1:5" x14ac:dyDescent="0.25">
      <c r="A1424" t="s">
        <v>5</v>
      </c>
      <c r="B1424">
        <v>15</v>
      </c>
      <c r="C1424" s="1">
        <v>7.4073870976765896E-5</v>
      </c>
      <c r="D1424">
        <v>6960</v>
      </c>
      <c r="E1424">
        <v>163.586460351943</v>
      </c>
    </row>
    <row r="1425" spans="1:5" x14ac:dyDescent="0.25">
      <c r="A1425" t="s">
        <v>6</v>
      </c>
      <c r="B1425">
        <v>15</v>
      </c>
      <c r="C1425">
        <v>1.9444326559702501E-4</v>
      </c>
      <c r="D1425">
        <v>7002</v>
      </c>
      <c r="E1425">
        <v>97.673225879669104</v>
      </c>
    </row>
    <row r="1426" spans="1:5" x14ac:dyDescent="0.25">
      <c r="A1426" t="s">
        <v>5</v>
      </c>
      <c r="B1426">
        <v>16</v>
      </c>
      <c r="C1426" s="1">
        <v>7.4073870976765896E-5</v>
      </c>
      <c r="D1426">
        <v>6960</v>
      </c>
      <c r="E1426">
        <v>164.15489721298201</v>
      </c>
    </row>
    <row r="1427" spans="1:5" x14ac:dyDescent="0.25">
      <c r="A1427" t="s">
        <v>6</v>
      </c>
      <c r="B1427">
        <v>16</v>
      </c>
      <c r="C1427">
        <v>1.1111040910085E-4</v>
      </c>
      <c r="D1427">
        <v>7002</v>
      </c>
      <c r="E1427">
        <v>98.0885617733001</v>
      </c>
    </row>
    <row r="1428" spans="1:5" x14ac:dyDescent="0.25">
      <c r="A1428" t="s">
        <v>5</v>
      </c>
      <c r="B1428">
        <v>17</v>
      </c>
      <c r="C1428">
        <v>0</v>
      </c>
      <c r="D1428">
        <v>6960</v>
      </c>
      <c r="E1428">
        <v>163.446051120758</v>
      </c>
    </row>
    <row r="1429" spans="1:5" x14ac:dyDescent="0.25">
      <c r="A1429" t="s">
        <v>6</v>
      </c>
      <c r="B1429">
        <v>17</v>
      </c>
      <c r="C1429" s="1">
        <v>8.3332856496175098E-5</v>
      </c>
      <c r="D1429">
        <v>7002</v>
      </c>
      <c r="E1429">
        <v>98.481389284133897</v>
      </c>
    </row>
    <row r="1430" spans="1:5" x14ac:dyDescent="0.25">
      <c r="A1430" t="s">
        <v>5</v>
      </c>
      <c r="B1430">
        <v>0</v>
      </c>
      <c r="C1430">
        <v>0.18738884647687201</v>
      </c>
      <c r="D1430">
        <v>6960</v>
      </c>
      <c r="E1430">
        <v>112.449467420578</v>
      </c>
    </row>
    <row r="1431" spans="1:5" x14ac:dyDescent="0.25">
      <c r="A1431" t="s">
        <v>6</v>
      </c>
      <c r="B1431">
        <v>0</v>
      </c>
      <c r="C1431">
        <v>0.18216662645339901</v>
      </c>
      <c r="D1431">
        <v>7002</v>
      </c>
      <c r="E1431">
        <v>63.955144166946397</v>
      </c>
    </row>
    <row r="1432" spans="1:5" x14ac:dyDescent="0.25">
      <c r="A1432" t="s">
        <v>5</v>
      </c>
      <c r="B1432">
        <v>1</v>
      </c>
      <c r="C1432">
        <v>0.166166625618934</v>
      </c>
      <c r="D1432">
        <v>6960</v>
      </c>
      <c r="E1432">
        <v>111.764498710632</v>
      </c>
    </row>
    <row r="1433" spans="1:5" x14ac:dyDescent="0.25">
      <c r="A1433" t="s">
        <v>6</v>
      </c>
      <c r="B1433">
        <v>1</v>
      </c>
      <c r="C1433">
        <v>0.15683329264322901</v>
      </c>
      <c r="D1433">
        <v>7002</v>
      </c>
      <c r="E1433">
        <v>64.036513566970797</v>
      </c>
    </row>
    <row r="1434" spans="1:5" x14ac:dyDescent="0.25">
      <c r="A1434" t="s">
        <v>5</v>
      </c>
      <c r="B1434">
        <v>2</v>
      </c>
      <c r="C1434">
        <v>0.14497218012809701</v>
      </c>
      <c r="D1434">
        <v>6960</v>
      </c>
      <c r="E1434">
        <v>111.950536251068</v>
      </c>
    </row>
    <row r="1435" spans="1:5" x14ac:dyDescent="0.25">
      <c r="A1435" t="s">
        <v>6</v>
      </c>
      <c r="B1435">
        <v>2</v>
      </c>
      <c r="C1435">
        <v>0.13430551290511999</v>
      </c>
      <c r="D1435">
        <v>7002</v>
      </c>
      <c r="E1435">
        <v>63.855422735214198</v>
      </c>
    </row>
    <row r="1436" spans="1:5" x14ac:dyDescent="0.25">
      <c r="A1436" t="s">
        <v>5</v>
      </c>
      <c r="B1436">
        <v>3</v>
      </c>
      <c r="C1436">
        <v>0.11866662700970899</v>
      </c>
      <c r="D1436">
        <v>6960</v>
      </c>
      <c r="E1436">
        <v>111.53479647636399</v>
      </c>
    </row>
    <row r="1437" spans="1:5" x14ac:dyDescent="0.25">
      <c r="A1437" t="s">
        <v>6</v>
      </c>
      <c r="B1437">
        <v>3</v>
      </c>
      <c r="C1437">
        <v>0.108833291530609</v>
      </c>
      <c r="D1437">
        <v>7002</v>
      </c>
      <c r="E1437">
        <v>64.006263256072998</v>
      </c>
    </row>
    <row r="1438" spans="1:5" x14ac:dyDescent="0.25">
      <c r="A1438" t="s">
        <v>5</v>
      </c>
      <c r="B1438">
        <v>4</v>
      </c>
      <c r="C1438">
        <v>9.7388846675554905E-2</v>
      </c>
      <c r="D1438">
        <v>6960</v>
      </c>
      <c r="E1438">
        <v>111.591032266616</v>
      </c>
    </row>
    <row r="1439" spans="1:5" x14ac:dyDescent="0.25">
      <c r="A1439" t="s">
        <v>6</v>
      </c>
      <c r="B1439">
        <v>4</v>
      </c>
      <c r="C1439">
        <v>8.6777734359105393E-2</v>
      </c>
      <c r="D1439">
        <v>7002</v>
      </c>
      <c r="E1439">
        <v>63.905232906341503</v>
      </c>
    </row>
    <row r="1440" spans="1:5" x14ac:dyDescent="0.25">
      <c r="A1440" t="s">
        <v>5</v>
      </c>
      <c r="B1440">
        <v>5</v>
      </c>
      <c r="C1440">
        <v>8.0833289027213998E-2</v>
      </c>
      <c r="D1440">
        <v>6960</v>
      </c>
      <c r="E1440">
        <v>111.441222429275</v>
      </c>
    </row>
    <row r="1441" spans="1:5" x14ac:dyDescent="0.25">
      <c r="A1441" t="s">
        <v>6</v>
      </c>
      <c r="B1441">
        <v>5</v>
      </c>
      <c r="C1441">
        <v>6.5277734001477503E-2</v>
      </c>
      <c r="D1441">
        <v>7002</v>
      </c>
      <c r="E1441">
        <v>63.837235927581702</v>
      </c>
    </row>
    <row r="1442" spans="1:5" x14ac:dyDescent="0.25">
      <c r="A1442" t="s">
        <v>5</v>
      </c>
      <c r="B1442">
        <v>6</v>
      </c>
      <c r="C1442">
        <v>6.5611068209012302E-2</v>
      </c>
      <c r="D1442">
        <v>6960</v>
      </c>
      <c r="E1442">
        <v>111.734377622604</v>
      </c>
    </row>
    <row r="1443" spans="1:5" x14ac:dyDescent="0.25">
      <c r="A1443" t="s">
        <v>6</v>
      </c>
      <c r="B1443">
        <v>6</v>
      </c>
      <c r="C1443">
        <v>4.7166627844174698E-2</v>
      </c>
      <c r="D1443">
        <v>7002</v>
      </c>
      <c r="E1443">
        <v>64.319595098495398</v>
      </c>
    </row>
    <row r="1444" spans="1:5" x14ac:dyDescent="0.25">
      <c r="A1444" t="s">
        <v>5</v>
      </c>
      <c r="B1444">
        <v>8</v>
      </c>
      <c r="C1444">
        <v>3.3749962647755899E-2</v>
      </c>
      <c r="D1444">
        <v>6960</v>
      </c>
      <c r="E1444">
        <v>111.750207185745</v>
      </c>
    </row>
    <row r="1445" spans="1:5" x14ac:dyDescent="0.25">
      <c r="A1445" t="s">
        <v>6</v>
      </c>
      <c r="B1445">
        <v>8</v>
      </c>
      <c r="C1445">
        <v>2.2583302060762998E-2</v>
      </c>
      <c r="D1445">
        <v>7002</v>
      </c>
      <c r="E1445">
        <v>64.087274312972994</v>
      </c>
    </row>
    <row r="1446" spans="1:5" x14ac:dyDescent="0.25">
      <c r="A1446" t="s">
        <v>5</v>
      </c>
      <c r="B1446">
        <v>9</v>
      </c>
      <c r="C1446">
        <v>2.3194415767987499E-2</v>
      </c>
      <c r="D1446">
        <v>6960</v>
      </c>
      <c r="E1446">
        <v>112.23169016838</v>
      </c>
    </row>
    <row r="1447" spans="1:5" x14ac:dyDescent="0.25">
      <c r="A1447" t="s">
        <v>6</v>
      </c>
      <c r="B1447">
        <v>9</v>
      </c>
      <c r="C1447">
        <v>1.5194422801335599E-2</v>
      </c>
      <c r="D1447">
        <v>7002</v>
      </c>
      <c r="E1447">
        <v>63.622955083847003</v>
      </c>
    </row>
    <row r="1448" spans="1:5" x14ac:dyDescent="0.25">
      <c r="A1448" t="s">
        <v>5</v>
      </c>
      <c r="B1448">
        <v>10</v>
      </c>
      <c r="C1448">
        <v>1.2111096183458901E-2</v>
      </c>
      <c r="D1448">
        <v>6960</v>
      </c>
      <c r="E1448">
        <v>111.618644237518</v>
      </c>
    </row>
    <row r="1449" spans="1:5" x14ac:dyDescent="0.25">
      <c r="A1449" t="s">
        <v>6</v>
      </c>
      <c r="B1449">
        <v>10</v>
      </c>
      <c r="C1449">
        <v>9.5277623335520405E-3</v>
      </c>
      <c r="D1449">
        <v>7002</v>
      </c>
      <c r="E1449">
        <v>63.522822856902998</v>
      </c>
    </row>
    <row r="1450" spans="1:5" x14ac:dyDescent="0.25">
      <c r="A1450" t="s">
        <v>5</v>
      </c>
      <c r="B1450">
        <v>11</v>
      </c>
      <c r="C1450">
        <v>5.99998990694681E-3</v>
      </c>
      <c r="D1450">
        <v>6960</v>
      </c>
      <c r="E1450">
        <v>111.918804645538</v>
      </c>
    </row>
    <row r="1451" spans="1:5" x14ac:dyDescent="0.25">
      <c r="A1451" t="s">
        <v>6</v>
      </c>
      <c r="B1451">
        <v>11</v>
      </c>
      <c r="C1451">
        <v>7.6944301525751699E-3</v>
      </c>
      <c r="D1451">
        <v>7002</v>
      </c>
      <c r="E1451">
        <v>63.570713520049999</v>
      </c>
    </row>
    <row r="1452" spans="1:5" x14ac:dyDescent="0.25">
      <c r="A1452" t="s">
        <v>5</v>
      </c>
      <c r="B1452">
        <v>12</v>
      </c>
      <c r="C1452">
        <v>2.3055456082026098E-3</v>
      </c>
      <c r="D1452">
        <v>6960</v>
      </c>
      <c r="E1452">
        <v>128.09780049323999</v>
      </c>
    </row>
    <row r="1453" spans="1:5" x14ac:dyDescent="0.25">
      <c r="A1453" t="s">
        <v>6</v>
      </c>
      <c r="B1453">
        <v>12</v>
      </c>
      <c r="C1453">
        <v>2.66665558020273E-3</v>
      </c>
      <c r="D1453">
        <v>7002</v>
      </c>
      <c r="E1453">
        <v>81.905555248260498</v>
      </c>
    </row>
    <row r="1454" spans="1:5" x14ac:dyDescent="0.25">
      <c r="A1454" t="s">
        <v>5</v>
      </c>
      <c r="B1454">
        <v>13</v>
      </c>
      <c r="C1454">
        <v>8.3333055178324298E-4</v>
      </c>
      <c r="D1454">
        <v>6960</v>
      </c>
      <c r="E1454">
        <v>127.163966894149</v>
      </c>
    </row>
    <row r="1455" spans="1:5" x14ac:dyDescent="0.25">
      <c r="A1455" t="s">
        <v>6</v>
      </c>
      <c r="B1455">
        <v>13</v>
      </c>
      <c r="C1455">
        <v>9.3055029710133804E-4</v>
      </c>
      <c r="D1455">
        <v>7002</v>
      </c>
      <c r="E1455">
        <v>81.770091533660803</v>
      </c>
    </row>
    <row r="1456" spans="1:5" x14ac:dyDescent="0.25">
      <c r="A1456" t="s">
        <v>5</v>
      </c>
      <c r="B1456">
        <v>14</v>
      </c>
      <c r="C1456">
        <v>3.51850787798563E-4</v>
      </c>
      <c r="D1456">
        <v>6960</v>
      </c>
      <c r="E1456">
        <v>164.73283290863</v>
      </c>
    </row>
    <row r="1457" spans="1:5" x14ac:dyDescent="0.25">
      <c r="A1457" t="s">
        <v>6</v>
      </c>
      <c r="B1457">
        <v>14</v>
      </c>
      <c r="C1457">
        <v>2.3148020108540801E-4</v>
      </c>
      <c r="D1457">
        <v>7002</v>
      </c>
      <c r="E1457">
        <v>98.132449865341101</v>
      </c>
    </row>
    <row r="1458" spans="1:5" x14ac:dyDescent="0.25">
      <c r="A1458" t="s">
        <v>5</v>
      </c>
      <c r="B1458">
        <v>15</v>
      </c>
      <c r="C1458">
        <v>1.1111100514729799E-4</v>
      </c>
      <c r="D1458">
        <v>6960</v>
      </c>
      <c r="E1458">
        <v>163.253959417343</v>
      </c>
    </row>
    <row r="1459" spans="1:5" x14ac:dyDescent="0.25">
      <c r="A1459" t="s">
        <v>6</v>
      </c>
      <c r="B1459">
        <v>15</v>
      </c>
      <c r="C1459">
        <v>1.11110607782999E-4</v>
      </c>
      <c r="D1459">
        <v>7002</v>
      </c>
      <c r="E1459">
        <v>97.948966264724703</v>
      </c>
    </row>
    <row r="1460" spans="1:5" x14ac:dyDescent="0.25">
      <c r="A1460" t="s">
        <v>5</v>
      </c>
      <c r="B1460">
        <v>16</v>
      </c>
      <c r="C1460" s="1">
        <v>2.7777751286824498E-5</v>
      </c>
      <c r="D1460">
        <v>6960</v>
      </c>
      <c r="E1460">
        <v>163.39107561111399</v>
      </c>
    </row>
    <row r="1461" spans="1:5" x14ac:dyDescent="0.25">
      <c r="A1461" t="s">
        <v>6</v>
      </c>
      <c r="B1461">
        <v>16</v>
      </c>
      <c r="C1461" s="1">
        <v>3.7036736806233697E-5</v>
      </c>
      <c r="D1461">
        <v>7002</v>
      </c>
      <c r="E1461">
        <v>97.558730125427203</v>
      </c>
    </row>
    <row r="1462" spans="1:5" x14ac:dyDescent="0.25">
      <c r="A1462" t="s">
        <v>5</v>
      </c>
      <c r="B1462">
        <v>17</v>
      </c>
      <c r="C1462">
        <v>0</v>
      </c>
      <c r="D1462">
        <v>6960</v>
      </c>
      <c r="E1462">
        <v>164.04631614684999</v>
      </c>
    </row>
    <row r="1463" spans="1:5" x14ac:dyDescent="0.25">
      <c r="A1463" t="s">
        <v>6</v>
      </c>
      <c r="B1463">
        <v>17</v>
      </c>
      <c r="C1463" s="1">
        <v>1.8518368403116801E-5</v>
      </c>
      <c r="D1463">
        <v>7002</v>
      </c>
      <c r="E1463">
        <v>98.036802291870103</v>
      </c>
    </row>
    <row r="1464" spans="1:5" x14ac:dyDescent="0.25">
      <c r="A1464" t="s">
        <v>5</v>
      </c>
      <c r="B1464">
        <v>0</v>
      </c>
      <c r="C1464">
        <v>0.186333290934562</v>
      </c>
      <c r="D1464">
        <v>6960</v>
      </c>
      <c r="E1464">
        <v>111.934489011764</v>
      </c>
    </row>
    <row r="1465" spans="1:5" x14ac:dyDescent="0.25">
      <c r="A1465" t="s">
        <v>6</v>
      </c>
      <c r="B1465">
        <v>0</v>
      </c>
      <c r="C1465">
        <v>0.18105551401774</v>
      </c>
      <c r="D1465">
        <v>7002</v>
      </c>
      <c r="E1465">
        <v>63.838463783264103</v>
      </c>
    </row>
    <row r="1466" spans="1:5" x14ac:dyDescent="0.25">
      <c r="A1466" t="s">
        <v>5</v>
      </c>
      <c r="B1466">
        <v>1</v>
      </c>
      <c r="C1466">
        <v>0.16705551226933699</v>
      </c>
      <c r="D1466">
        <v>6960</v>
      </c>
      <c r="E1466">
        <v>111.21944880485501</v>
      </c>
    </row>
    <row r="1467" spans="1:5" x14ac:dyDescent="0.25">
      <c r="A1467" t="s">
        <v>6</v>
      </c>
      <c r="B1467">
        <v>1</v>
      </c>
      <c r="C1467">
        <v>0.158527735471725</v>
      </c>
      <c r="D1467">
        <v>7002</v>
      </c>
      <c r="E1467">
        <v>63.470795869827199</v>
      </c>
    </row>
    <row r="1468" spans="1:5" x14ac:dyDescent="0.25">
      <c r="A1468" t="s">
        <v>5</v>
      </c>
      <c r="B1468">
        <v>2</v>
      </c>
      <c r="C1468">
        <v>0.14372218171755399</v>
      </c>
      <c r="D1468">
        <v>6960</v>
      </c>
      <c r="E1468">
        <v>111.363424539566</v>
      </c>
    </row>
    <row r="1469" spans="1:5" x14ac:dyDescent="0.25">
      <c r="A1469" t="s">
        <v>6</v>
      </c>
      <c r="B1469">
        <v>2</v>
      </c>
      <c r="C1469">
        <v>0.13355551540851501</v>
      </c>
      <c r="D1469">
        <v>7002</v>
      </c>
      <c r="E1469">
        <v>63.538482666015597</v>
      </c>
    </row>
    <row r="1470" spans="1:5" x14ac:dyDescent="0.25">
      <c r="A1470" t="s">
        <v>5</v>
      </c>
      <c r="B1470">
        <v>3</v>
      </c>
      <c r="C1470">
        <v>0.12308329463004999</v>
      </c>
      <c r="D1470">
        <v>6960</v>
      </c>
      <c r="E1470">
        <v>111.722848892211</v>
      </c>
    </row>
    <row r="1471" spans="1:5" x14ac:dyDescent="0.25">
      <c r="A1471" t="s">
        <v>6</v>
      </c>
      <c r="B1471">
        <v>3</v>
      </c>
      <c r="C1471">
        <v>0.107722178697586</v>
      </c>
      <c r="D1471">
        <v>7002</v>
      </c>
      <c r="E1471">
        <v>63.5039348602294</v>
      </c>
    </row>
    <row r="1472" spans="1:5" x14ac:dyDescent="0.25">
      <c r="A1472" t="s">
        <v>5</v>
      </c>
      <c r="B1472">
        <v>4</v>
      </c>
      <c r="C1472">
        <v>9.7222179174423204E-2</v>
      </c>
      <c r="D1472">
        <v>6960</v>
      </c>
      <c r="E1472">
        <v>112.768994569778</v>
      </c>
    </row>
    <row r="1473" spans="1:5" x14ac:dyDescent="0.25">
      <c r="A1473" t="s">
        <v>6</v>
      </c>
      <c r="B1473">
        <v>4</v>
      </c>
      <c r="C1473">
        <v>8.6416623393694506E-2</v>
      </c>
      <c r="D1473">
        <v>7002</v>
      </c>
      <c r="E1473">
        <v>64.319867134094196</v>
      </c>
    </row>
    <row r="1474" spans="1:5" x14ac:dyDescent="0.25">
      <c r="A1474" t="s">
        <v>5</v>
      </c>
      <c r="B1474">
        <v>5</v>
      </c>
      <c r="C1474">
        <v>7.7722178101539599E-2</v>
      </c>
      <c r="D1474">
        <v>6960</v>
      </c>
      <c r="E1474">
        <v>112.206533193588</v>
      </c>
    </row>
    <row r="1475" spans="1:5" x14ac:dyDescent="0.25">
      <c r="A1475" t="s">
        <v>6</v>
      </c>
      <c r="B1475">
        <v>5</v>
      </c>
      <c r="C1475">
        <v>6.7277733683586097E-2</v>
      </c>
      <c r="D1475">
        <v>7002</v>
      </c>
      <c r="E1475">
        <v>63.621881246566701</v>
      </c>
    </row>
    <row r="1476" spans="1:5" x14ac:dyDescent="0.25">
      <c r="A1476" t="s">
        <v>5</v>
      </c>
      <c r="B1476">
        <v>6</v>
      </c>
      <c r="C1476">
        <v>6.3916623195012401E-2</v>
      </c>
      <c r="D1476">
        <v>6960</v>
      </c>
      <c r="E1476">
        <v>111.577241420745</v>
      </c>
    </row>
    <row r="1477" spans="1:5" x14ac:dyDescent="0.25">
      <c r="A1477" t="s">
        <v>6</v>
      </c>
      <c r="B1477">
        <v>6</v>
      </c>
      <c r="C1477">
        <v>5.0277736385663303E-2</v>
      </c>
      <c r="D1477">
        <v>7002</v>
      </c>
      <c r="E1477">
        <v>63.805259943008402</v>
      </c>
    </row>
    <row r="1478" spans="1:5" x14ac:dyDescent="0.25">
      <c r="A1478" t="s">
        <v>5</v>
      </c>
      <c r="B1478">
        <v>8</v>
      </c>
      <c r="C1478">
        <v>3.2305521368980399E-2</v>
      </c>
      <c r="D1478">
        <v>6960</v>
      </c>
      <c r="E1478">
        <v>111.37881398200901</v>
      </c>
    </row>
    <row r="1479" spans="1:5" x14ac:dyDescent="0.25">
      <c r="A1479" t="s">
        <v>6</v>
      </c>
      <c r="B1479">
        <v>8</v>
      </c>
      <c r="C1479">
        <v>2.3611080447832701E-2</v>
      </c>
      <c r="D1479">
        <v>7002</v>
      </c>
      <c r="E1479">
        <v>63.504215478897002</v>
      </c>
    </row>
    <row r="1480" spans="1:5" x14ac:dyDescent="0.25">
      <c r="A1480" t="s">
        <v>5</v>
      </c>
      <c r="B1480">
        <v>9</v>
      </c>
      <c r="C1480">
        <v>2.65555254618326E-2</v>
      </c>
      <c r="D1480">
        <v>6960</v>
      </c>
      <c r="E1480">
        <v>112.175298690795</v>
      </c>
    </row>
    <row r="1481" spans="1:5" x14ac:dyDescent="0.25">
      <c r="A1481" t="s">
        <v>6</v>
      </c>
      <c r="B1481">
        <v>9</v>
      </c>
      <c r="C1481">
        <v>1.4999975959459899E-2</v>
      </c>
      <c r="D1481">
        <v>7002</v>
      </c>
      <c r="E1481">
        <v>63.988698482513399</v>
      </c>
    </row>
    <row r="1482" spans="1:5" x14ac:dyDescent="0.25">
      <c r="A1482" t="s">
        <v>5</v>
      </c>
      <c r="B1482">
        <v>10</v>
      </c>
      <c r="C1482">
        <v>1.1583316723505601E-2</v>
      </c>
      <c r="D1482">
        <v>6960</v>
      </c>
      <c r="E1482">
        <v>111.40867733955299</v>
      </c>
    </row>
    <row r="1483" spans="1:5" x14ac:dyDescent="0.25">
      <c r="A1483" t="s">
        <v>6</v>
      </c>
      <c r="B1483">
        <v>10</v>
      </c>
      <c r="C1483">
        <v>1.04722038904825E-2</v>
      </c>
      <c r="D1483">
        <v>7002</v>
      </c>
      <c r="E1483">
        <v>63.621876955032299</v>
      </c>
    </row>
    <row r="1484" spans="1:5" x14ac:dyDescent="0.25">
      <c r="A1484" t="s">
        <v>5</v>
      </c>
      <c r="B1484">
        <v>11</v>
      </c>
      <c r="C1484">
        <v>7.4444331725438398E-3</v>
      </c>
      <c r="D1484">
        <v>6960</v>
      </c>
      <c r="E1484">
        <v>111.214298725128</v>
      </c>
    </row>
    <row r="1485" spans="1:5" x14ac:dyDescent="0.25">
      <c r="A1485" t="s">
        <v>6</v>
      </c>
      <c r="B1485">
        <v>11</v>
      </c>
      <c r="C1485">
        <v>5.6944334506988502E-3</v>
      </c>
      <c r="D1485">
        <v>7002</v>
      </c>
      <c r="E1485">
        <v>63.555296659469597</v>
      </c>
    </row>
    <row r="1486" spans="1:5" x14ac:dyDescent="0.25">
      <c r="A1486" t="s">
        <v>5</v>
      </c>
      <c r="B1486">
        <v>12</v>
      </c>
      <c r="C1486">
        <v>2.2638795773188198E-3</v>
      </c>
      <c r="D1486">
        <v>6960</v>
      </c>
      <c r="E1486">
        <v>127.499370813369</v>
      </c>
    </row>
    <row r="1487" spans="1:5" x14ac:dyDescent="0.25">
      <c r="A1487" t="s">
        <v>6</v>
      </c>
      <c r="B1487">
        <v>12</v>
      </c>
      <c r="C1487">
        <v>1.68054660161336E-3</v>
      </c>
      <c r="D1487">
        <v>7002</v>
      </c>
      <c r="E1487">
        <v>81.889680624008093</v>
      </c>
    </row>
    <row r="1488" spans="1:5" x14ac:dyDescent="0.25">
      <c r="A1488" t="s">
        <v>5</v>
      </c>
      <c r="B1488">
        <v>13</v>
      </c>
      <c r="C1488">
        <v>8.6110830307006803E-4</v>
      </c>
      <c r="D1488">
        <v>6960</v>
      </c>
      <c r="E1488">
        <v>127.920447826385</v>
      </c>
    </row>
    <row r="1489" spans="1:5" x14ac:dyDescent="0.25">
      <c r="A1489" t="s">
        <v>6</v>
      </c>
      <c r="B1489">
        <v>13</v>
      </c>
      <c r="C1489">
        <v>1.6666581233342401E-3</v>
      </c>
      <c r="D1489">
        <v>7002</v>
      </c>
      <c r="E1489">
        <v>81.9720876216888</v>
      </c>
    </row>
    <row r="1490" spans="1:5" x14ac:dyDescent="0.25">
      <c r="A1490" t="s">
        <v>5</v>
      </c>
      <c r="B1490">
        <v>14</v>
      </c>
      <c r="C1490">
        <v>3.9814710617065398E-4</v>
      </c>
      <c r="D1490">
        <v>6960</v>
      </c>
      <c r="E1490">
        <v>166.84178638458201</v>
      </c>
    </row>
    <row r="1491" spans="1:5" x14ac:dyDescent="0.25">
      <c r="A1491" t="s">
        <v>6</v>
      </c>
      <c r="B1491">
        <v>14</v>
      </c>
      <c r="C1491">
        <v>6.0184915860493897E-4</v>
      </c>
      <c r="D1491">
        <v>7002</v>
      </c>
      <c r="E1491">
        <v>97.764801263809204</v>
      </c>
    </row>
    <row r="1492" spans="1:5" x14ac:dyDescent="0.25">
      <c r="A1492" t="s">
        <v>5</v>
      </c>
      <c r="B1492">
        <v>15</v>
      </c>
      <c r="C1492">
        <v>1.29629174868265E-4</v>
      </c>
      <c r="D1492">
        <v>6960</v>
      </c>
      <c r="E1492">
        <v>163.65026736259401</v>
      </c>
    </row>
    <row r="1493" spans="1:5" x14ac:dyDescent="0.25">
      <c r="A1493" t="s">
        <v>6</v>
      </c>
      <c r="B1493">
        <v>15</v>
      </c>
      <c r="C1493">
        <v>1.8518447875976501E-4</v>
      </c>
      <c r="D1493">
        <v>7002</v>
      </c>
      <c r="E1493">
        <v>98.119132280349703</v>
      </c>
    </row>
    <row r="1494" spans="1:5" x14ac:dyDescent="0.25">
      <c r="A1494" t="s">
        <v>5</v>
      </c>
      <c r="B1494">
        <v>16</v>
      </c>
      <c r="C1494" s="1">
        <v>4.6296119689941401E-5</v>
      </c>
      <c r="D1494">
        <v>6960</v>
      </c>
      <c r="E1494">
        <v>162.972359657287</v>
      </c>
    </row>
    <row r="1495" spans="1:5" x14ac:dyDescent="0.25">
      <c r="A1495" t="s">
        <v>6</v>
      </c>
      <c r="B1495">
        <v>16</v>
      </c>
      <c r="C1495" s="1">
        <v>6.4814488093058206E-5</v>
      </c>
      <c r="D1495">
        <v>7002</v>
      </c>
      <c r="E1495">
        <v>97.676139831542898</v>
      </c>
    </row>
    <row r="1496" spans="1:5" x14ac:dyDescent="0.25">
      <c r="A1496" t="s">
        <v>5</v>
      </c>
      <c r="B1496">
        <v>17</v>
      </c>
      <c r="C1496" s="1">
        <v>5.55553038914998E-5</v>
      </c>
      <c r="D1496">
        <v>6960</v>
      </c>
      <c r="E1496">
        <v>163.31956291198699</v>
      </c>
    </row>
    <row r="1497" spans="1:5" x14ac:dyDescent="0.25">
      <c r="A1497" t="s">
        <v>6</v>
      </c>
      <c r="B1497">
        <v>17</v>
      </c>
      <c r="C1497">
        <v>0</v>
      </c>
      <c r="D1497">
        <v>7002</v>
      </c>
      <c r="E1497">
        <v>98.139794349670396</v>
      </c>
    </row>
    <row r="1498" spans="1:5" x14ac:dyDescent="0.25">
      <c r="A1498" t="s">
        <v>5</v>
      </c>
      <c r="B1498">
        <v>0</v>
      </c>
      <c r="C1498">
        <v>0.18911106844743</v>
      </c>
      <c r="D1498">
        <v>6960</v>
      </c>
      <c r="E1498">
        <v>112.33961176872199</v>
      </c>
    </row>
    <row r="1499" spans="1:5" x14ac:dyDescent="0.25">
      <c r="A1499" t="s">
        <v>6</v>
      </c>
      <c r="B1499">
        <v>0</v>
      </c>
      <c r="C1499">
        <v>0.18080551286538399</v>
      </c>
      <c r="D1499">
        <v>7002</v>
      </c>
      <c r="E1499">
        <v>63.521806955337503</v>
      </c>
    </row>
    <row r="1500" spans="1:5" x14ac:dyDescent="0.25">
      <c r="A1500" t="s">
        <v>5</v>
      </c>
      <c r="B1500">
        <v>1</v>
      </c>
      <c r="C1500">
        <v>0.16522217988967799</v>
      </c>
      <c r="D1500">
        <v>6960</v>
      </c>
      <c r="E1500">
        <v>111.08679485320999</v>
      </c>
    </row>
    <row r="1501" spans="1:5" x14ac:dyDescent="0.25">
      <c r="A1501" t="s">
        <v>6</v>
      </c>
      <c r="B1501">
        <v>1</v>
      </c>
      <c r="C1501">
        <v>0.156861069798469</v>
      </c>
      <c r="D1501">
        <v>7002</v>
      </c>
      <c r="E1501">
        <v>63.537584304809499</v>
      </c>
    </row>
    <row r="1502" spans="1:5" x14ac:dyDescent="0.25">
      <c r="A1502" t="s">
        <v>5</v>
      </c>
      <c r="B1502">
        <v>2</v>
      </c>
      <c r="C1502">
        <v>0.14152773638566299</v>
      </c>
      <c r="D1502">
        <v>6960</v>
      </c>
      <c r="E1502">
        <v>112.137895584106</v>
      </c>
    </row>
    <row r="1503" spans="1:5" x14ac:dyDescent="0.25">
      <c r="A1503" t="s">
        <v>6</v>
      </c>
      <c r="B1503">
        <v>2</v>
      </c>
      <c r="C1503">
        <v>0.134722180962562</v>
      </c>
      <c r="D1503">
        <v>7002</v>
      </c>
      <c r="E1503">
        <v>63.653237342834402</v>
      </c>
    </row>
    <row r="1504" spans="1:5" x14ac:dyDescent="0.25">
      <c r="A1504" t="s">
        <v>5</v>
      </c>
      <c r="B1504">
        <v>3</v>
      </c>
      <c r="C1504">
        <v>0.123111071785291</v>
      </c>
      <c r="D1504">
        <v>6960</v>
      </c>
      <c r="E1504">
        <v>112.162239551544</v>
      </c>
    </row>
    <row r="1505" spans="1:5" x14ac:dyDescent="0.25">
      <c r="A1505" t="s">
        <v>6</v>
      </c>
      <c r="B1505">
        <v>3</v>
      </c>
      <c r="C1505">
        <v>0.10869440197944601</v>
      </c>
      <c r="D1505">
        <v>7002</v>
      </c>
      <c r="E1505">
        <v>63.421795606613102</v>
      </c>
    </row>
    <row r="1506" spans="1:5" x14ac:dyDescent="0.25">
      <c r="A1506" t="s">
        <v>5</v>
      </c>
      <c r="B1506">
        <v>4</v>
      </c>
      <c r="C1506">
        <v>9.9611069361368806E-2</v>
      </c>
      <c r="D1506">
        <v>6960</v>
      </c>
      <c r="E1506">
        <v>111.259356737136</v>
      </c>
    </row>
    <row r="1507" spans="1:5" x14ac:dyDescent="0.25">
      <c r="A1507" t="s">
        <v>6</v>
      </c>
      <c r="B1507">
        <v>4</v>
      </c>
      <c r="C1507">
        <v>8.6749955614407806E-2</v>
      </c>
      <c r="D1507">
        <v>7002</v>
      </c>
      <c r="E1507">
        <v>63.587590694427398</v>
      </c>
    </row>
    <row r="1508" spans="1:5" x14ac:dyDescent="0.25">
      <c r="A1508" t="s">
        <v>5</v>
      </c>
      <c r="B1508">
        <v>5</v>
      </c>
      <c r="C1508">
        <v>7.7416623632113102E-2</v>
      </c>
      <c r="D1508">
        <v>6960</v>
      </c>
      <c r="E1508">
        <v>111.359019279479</v>
      </c>
    </row>
    <row r="1509" spans="1:5" x14ac:dyDescent="0.25">
      <c r="A1509" t="s">
        <v>6</v>
      </c>
      <c r="B1509">
        <v>5</v>
      </c>
      <c r="C1509">
        <v>6.5666623910268104E-2</v>
      </c>
      <c r="D1509">
        <v>7002</v>
      </c>
      <c r="E1509">
        <v>63.455204725265503</v>
      </c>
    </row>
    <row r="1510" spans="1:5" x14ac:dyDescent="0.25">
      <c r="A1510" t="s">
        <v>5</v>
      </c>
      <c r="B1510">
        <v>6</v>
      </c>
      <c r="C1510">
        <v>5.8638846675554898E-2</v>
      </c>
      <c r="D1510">
        <v>6960</v>
      </c>
      <c r="E1510">
        <v>111.588909149169</v>
      </c>
    </row>
    <row r="1511" spans="1:5" x14ac:dyDescent="0.25">
      <c r="A1511" t="s">
        <v>6</v>
      </c>
      <c r="B1511">
        <v>6</v>
      </c>
      <c r="C1511">
        <v>5.2833290696144099E-2</v>
      </c>
      <c r="D1511">
        <v>7002</v>
      </c>
      <c r="E1511">
        <v>63.855134010314899</v>
      </c>
    </row>
    <row r="1512" spans="1:5" x14ac:dyDescent="0.25">
      <c r="A1512" t="s">
        <v>5</v>
      </c>
      <c r="B1512">
        <v>8</v>
      </c>
      <c r="C1512">
        <v>3.3111074368158903E-2</v>
      </c>
      <c r="D1512">
        <v>6960</v>
      </c>
      <c r="E1512">
        <v>111.72631907463</v>
      </c>
    </row>
    <row r="1513" spans="1:5" x14ac:dyDescent="0.25">
      <c r="A1513" t="s">
        <v>6</v>
      </c>
      <c r="B1513">
        <v>8</v>
      </c>
      <c r="C1513">
        <v>2.6555519700050299E-2</v>
      </c>
      <c r="D1513">
        <v>7002</v>
      </c>
      <c r="E1513">
        <v>63.5719246864318</v>
      </c>
    </row>
    <row r="1514" spans="1:5" x14ac:dyDescent="0.25">
      <c r="A1514" t="s">
        <v>5</v>
      </c>
      <c r="B1514">
        <v>9</v>
      </c>
      <c r="C1514">
        <v>2.29166388511657E-2</v>
      </c>
      <c r="D1514">
        <v>6960</v>
      </c>
      <c r="E1514">
        <v>110.955768108367</v>
      </c>
    </row>
    <row r="1515" spans="1:5" x14ac:dyDescent="0.25">
      <c r="A1515" t="s">
        <v>6</v>
      </c>
      <c r="B1515">
        <v>9</v>
      </c>
      <c r="C1515">
        <v>1.29999796549479E-2</v>
      </c>
      <c r="D1515">
        <v>7002</v>
      </c>
      <c r="E1515">
        <v>63.855165481567298</v>
      </c>
    </row>
    <row r="1516" spans="1:5" x14ac:dyDescent="0.25">
      <c r="A1516" t="s">
        <v>5</v>
      </c>
      <c r="B1516">
        <v>10</v>
      </c>
      <c r="C1516">
        <v>1.0861096580823199E-2</v>
      </c>
      <c r="D1516">
        <v>6960</v>
      </c>
      <c r="E1516">
        <v>111.90318465232799</v>
      </c>
    </row>
    <row r="1517" spans="1:5" x14ac:dyDescent="0.25">
      <c r="A1517" t="s">
        <v>6</v>
      </c>
      <c r="B1517">
        <v>10</v>
      </c>
      <c r="C1517">
        <v>1.27777570486068E-2</v>
      </c>
      <c r="D1517">
        <v>7002</v>
      </c>
      <c r="E1517">
        <v>63.538395404815603</v>
      </c>
    </row>
    <row r="1518" spans="1:5" x14ac:dyDescent="0.25">
      <c r="A1518" t="s">
        <v>5</v>
      </c>
      <c r="B1518">
        <v>11</v>
      </c>
      <c r="C1518">
        <v>7.3611017068227098E-3</v>
      </c>
      <c r="D1518">
        <v>6960</v>
      </c>
      <c r="E1518">
        <v>112.626682281494</v>
      </c>
    </row>
    <row r="1519" spans="1:5" x14ac:dyDescent="0.25">
      <c r="A1519" t="s">
        <v>6</v>
      </c>
      <c r="B1519">
        <v>11</v>
      </c>
      <c r="C1519">
        <v>4.9999910593032798E-3</v>
      </c>
      <c r="D1519">
        <v>7002</v>
      </c>
      <c r="E1519">
        <v>63.771665334701503</v>
      </c>
    </row>
    <row r="1520" spans="1:5" x14ac:dyDescent="0.25">
      <c r="A1520" t="s">
        <v>5</v>
      </c>
      <c r="B1520">
        <v>12</v>
      </c>
      <c r="C1520">
        <v>2.4027693271636901E-3</v>
      </c>
      <c r="D1520">
        <v>6960</v>
      </c>
      <c r="E1520">
        <v>128.29591178894</v>
      </c>
    </row>
    <row r="1521" spans="1:5" x14ac:dyDescent="0.25">
      <c r="A1521" t="s">
        <v>6</v>
      </c>
      <c r="B1521">
        <v>12</v>
      </c>
      <c r="C1521">
        <v>2.12498883406321E-3</v>
      </c>
      <c r="D1521">
        <v>7002</v>
      </c>
      <c r="E1521">
        <v>82.486674785613999</v>
      </c>
    </row>
    <row r="1522" spans="1:5" x14ac:dyDescent="0.25">
      <c r="A1522" t="s">
        <v>5</v>
      </c>
      <c r="B1522">
        <v>13</v>
      </c>
      <c r="C1522">
        <v>5.8333059151967305E-4</v>
      </c>
      <c r="D1522">
        <v>6960</v>
      </c>
      <c r="E1522">
        <v>128.166335105896</v>
      </c>
    </row>
    <row r="1523" spans="1:5" x14ac:dyDescent="0.25">
      <c r="A1523" t="s">
        <v>6</v>
      </c>
      <c r="B1523">
        <v>13</v>
      </c>
      <c r="C1523">
        <v>9.1666122277577703E-4</v>
      </c>
      <c r="D1523">
        <v>7002</v>
      </c>
      <c r="E1523">
        <v>82.087755441665607</v>
      </c>
    </row>
    <row r="1524" spans="1:5" x14ac:dyDescent="0.25">
      <c r="A1524" t="s">
        <v>5</v>
      </c>
      <c r="B1524">
        <v>14</v>
      </c>
      <c r="C1524">
        <v>3.5185098648071202E-4</v>
      </c>
      <c r="D1524">
        <v>6960</v>
      </c>
      <c r="E1524">
        <v>166.03179287910399</v>
      </c>
    </row>
    <row r="1525" spans="1:5" x14ac:dyDescent="0.25">
      <c r="A1525" t="s">
        <v>6</v>
      </c>
      <c r="B1525">
        <v>14</v>
      </c>
      <c r="C1525">
        <v>2.03702648480733E-4</v>
      </c>
      <c r="D1525">
        <v>7002</v>
      </c>
      <c r="E1525">
        <v>97.932834863662706</v>
      </c>
    </row>
    <row r="1526" spans="1:5" x14ac:dyDescent="0.25">
      <c r="A1526" t="s">
        <v>5</v>
      </c>
      <c r="B1526">
        <v>15</v>
      </c>
      <c r="C1526" s="1">
        <v>9.2592438062031999E-5</v>
      </c>
      <c r="D1526">
        <v>6960</v>
      </c>
      <c r="E1526">
        <v>163.56995940208401</v>
      </c>
    </row>
    <row r="1527" spans="1:5" x14ac:dyDescent="0.25">
      <c r="A1527" t="s">
        <v>6</v>
      </c>
      <c r="B1527">
        <v>15</v>
      </c>
      <c r="C1527">
        <v>1.8518428007761599E-4</v>
      </c>
      <c r="D1527">
        <v>7002</v>
      </c>
      <c r="E1527">
        <v>98.183578491210895</v>
      </c>
    </row>
    <row r="1528" spans="1:5" x14ac:dyDescent="0.25">
      <c r="A1528" t="s">
        <v>5</v>
      </c>
      <c r="B1528">
        <v>16</v>
      </c>
      <c r="C1528">
        <v>1.2962937355041499E-4</v>
      </c>
      <c r="D1528">
        <v>6960</v>
      </c>
      <c r="E1528">
        <v>163.48502445220899</v>
      </c>
    </row>
    <row r="1529" spans="1:5" x14ac:dyDescent="0.25">
      <c r="A1529" t="s">
        <v>6</v>
      </c>
      <c r="B1529">
        <v>16</v>
      </c>
      <c r="C1529" s="1">
        <v>3.7036736806233697E-5</v>
      </c>
      <c r="D1529">
        <v>7002</v>
      </c>
      <c r="E1529">
        <v>98.680476427078204</v>
      </c>
    </row>
    <row r="1530" spans="1:5" x14ac:dyDescent="0.25">
      <c r="A1530" t="s">
        <v>5</v>
      </c>
      <c r="B1530">
        <v>17</v>
      </c>
      <c r="C1530" s="1">
        <v>1.8518368403116801E-5</v>
      </c>
      <c r="D1530">
        <v>6960</v>
      </c>
      <c r="E1530">
        <v>162.97737956047001</v>
      </c>
    </row>
    <row r="1531" spans="1:5" x14ac:dyDescent="0.25">
      <c r="A1531" t="s">
        <v>6</v>
      </c>
      <c r="B1531">
        <v>17</v>
      </c>
      <c r="C1531" s="1">
        <v>3.7036736806233697E-5</v>
      </c>
      <c r="D1531">
        <v>7002</v>
      </c>
      <c r="E1531">
        <v>98.447937250137301</v>
      </c>
    </row>
    <row r="1532" spans="1:5" x14ac:dyDescent="0.25">
      <c r="A1532" t="s">
        <v>5</v>
      </c>
      <c r="B1532">
        <v>0</v>
      </c>
      <c r="C1532">
        <v>0.18777773499488801</v>
      </c>
      <c r="D1532">
        <v>6960</v>
      </c>
      <c r="E1532">
        <v>112.42189002037</v>
      </c>
    </row>
    <row r="1533" spans="1:5" x14ac:dyDescent="0.25">
      <c r="A1533" t="s">
        <v>6</v>
      </c>
      <c r="B1533">
        <v>0</v>
      </c>
      <c r="C1533">
        <v>0.17949995875358499</v>
      </c>
      <c r="D1533">
        <v>7002</v>
      </c>
      <c r="E1533">
        <v>63.904027223587001</v>
      </c>
    </row>
    <row r="1534" spans="1:5" x14ac:dyDescent="0.25">
      <c r="A1534" t="s">
        <v>5</v>
      </c>
      <c r="B1534">
        <v>1</v>
      </c>
      <c r="C1534">
        <v>0.166444401939709</v>
      </c>
      <c r="D1534">
        <v>6960</v>
      </c>
      <c r="E1534">
        <v>111.442351102828</v>
      </c>
    </row>
    <row r="1535" spans="1:5" x14ac:dyDescent="0.25">
      <c r="A1535" t="s">
        <v>6</v>
      </c>
      <c r="B1535">
        <v>1</v>
      </c>
      <c r="C1535">
        <v>0.156611071030298</v>
      </c>
      <c r="D1535">
        <v>7002</v>
      </c>
      <c r="E1535">
        <v>63.880842685699399</v>
      </c>
    </row>
    <row r="1536" spans="1:5" x14ac:dyDescent="0.25">
      <c r="A1536" t="s">
        <v>5</v>
      </c>
      <c r="B1536">
        <v>2</v>
      </c>
      <c r="C1536">
        <v>0.142361070315043</v>
      </c>
      <c r="D1536">
        <v>6960</v>
      </c>
      <c r="E1536">
        <v>111.667667865753</v>
      </c>
    </row>
    <row r="1537" spans="1:5" x14ac:dyDescent="0.25">
      <c r="A1537" t="s">
        <v>6</v>
      </c>
      <c r="B1537">
        <v>2</v>
      </c>
      <c r="C1537">
        <v>0.13191662530104301</v>
      </c>
      <c r="D1537">
        <v>7002</v>
      </c>
      <c r="E1537">
        <v>63.706188917159999</v>
      </c>
    </row>
    <row r="1538" spans="1:5" x14ac:dyDescent="0.25">
      <c r="A1538" t="s">
        <v>5</v>
      </c>
      <c r="B1538">
        <v>3</v>
      </c>
      <c r="C1538">
        <v>0.120805514852205</v>
      </c>
      <c r="D1538">
        <v>6960</v>
      </c>
      <c r="E1538">
        <v>112.50633978843599</v>
      </c>
    </row>
    <row r="1539" spans="1:5" x14ac:dyDescent="0.25">
      <c r="A1539" t="s">
        <v>6</v>
      </c>
      <c r="B1539">
        <v>3</v>
      </c>
      <c r="C1539">
        <v>0.111249958674112</v>
      </c>
      <c r="D1539">
        <v>7002</v>
      </c>
      <c r="E1539">
        <v>63.769669532775801</v>
      </c>
    </row>
    <row r="1540" spans="1:5" x14ac:dyDescent="0.25">
      <c r="A1540" t="s">
        <v>5</v>
      </c>
      <c r="B1540">
        <v>4</v>
      </c>
      <c r="C1540">
        <v>0.101361070871353</v>
      </c>
      <c r="D1540">
        <v>6960</v>
      </c>
      <c r="E1540">
        <v>112.86561393737701</v>
      </c>
    </row>
    <row r="1541" spans="1:5" x14ac:dyDescent="0.25">
      <c r="A1541" t="s">
        <v>6</v>
      </c>
      <c r="B1541">
        <v>4</v>
      </c>
      <c r="C1541">
        <v>8.5055512785911502E-2</v>
      </c>
      <c r="D1541">
        <v>7002</v>
      </c>
      <c r="E1541">
        <v>63.933340311050401</v>
      </c>
    </row>
    <row r="1542" spans="1:5" x14ac:dyDescent="0.25">
      <c r="A1542" t="s">
        <v>5</v>
      </c>
      <c r="B1542">
        <v>5</v>
      </c>
      <c r="C1542">
        <v>7.8222178022066699E-2</v>
      </c>
      <c r="D1542">
        <v>6960</v>
      </c>
      <c r="E1542">
        <v>111.363170623779</v>
      </c>
    </row>
    <row r="1543" spans="1:5" x14ac:dyDescent="0.25">
      <c r="A1543" t="s">
        <v>6</v>
      </c>
      <c r="B1543">
        <v>5</v>
      </c>
      <c r="C1543">
        <v>6.8972178498903899E-2</v>
      </c>
      <c r="D1543">
        <v>7002</v>
      </c>
      <c r="E1543">
        <v>63.639629602432201</v>
      </c>
    </row>
    <row r="1544" spans="1:5" x14ac:dyDescent="0.25">
      <c r="A1544" t="s">
        <v>5</v>
      </c>
      <c r="B1544">
        <v>6</v>
      </c>
      <c r="C1544">
        <v>6.0638846158981297E-2</v>
      </c>
      <c r="D1544">
        <v>6960</v>
      </c>
      <c r="E1544">
        <v>111.788556337356</v>
      </c>
    </row>
    <row r="1545" spans="1:5" x14ac:dyDescent="0.25">
      <c r="A1545" t="s">
        <v>6</v>
      </c>
      <c r="B1545">
        <v>6</v>
      </c>
      <c r="C1545">
        <v>4.8555515408515902E-2</v>
      </c>
      <c r="D1545">
        <v>7002</v>
      </c>
      <c r="E1545">
        <v>63.8385970592498</v>
      </c>
    </row>
    <row r="1546" spans="1:5" x14ac:dyDescent="0.25">
      <c r="A1546" t="s">
        <v>5</v>
      </c>
      <c r="B1546">
        <v>8</v>
      </c>
      <c r="C1546">
        <v>3.0055520733197501E-2</v>
      </c>
      <c r="D1546">
        <v>6960</v>
      </c>
      <c r="E1546">
        <v>111.52645945549</v>
      </c>
    </row>
    <row r="1547" spans="1:5" x14ac:dyDescent="0.25">
      <c r="A1547" t="s">
        <v>6</v>
      </c>
      <c r="B1547">
        <v>8</v>
      </c>
      <c r="C1547">
        <v>2.79444090525309E-2</v>
      </c>
      <c r="D1547">
        <v>7002</v>
      </c>
      <c r="E1547">
        <v>64.171669244766207</v>
      </c>
    </row>
    <row r="1548" spans="1:5" x14ac:dyDescent="0.25">
      <c r="A1548" t="s">
        <v>5</v>
      </c>
      <c r="B1548">
        <v>9</v>
      </c>
      <c r="C1548">
        <v>2.14444198211034E-2</v>
      </c>
      <c r="D1548">
        <v>6960</v>
      </c>
      <c r="E1548">
        <v>112.670062065124</v>
      </c>
    </row>
    <row r="1549" spans="1:5" x14ac:dyDescent="0.25">
      <c r="A1549" t="s">
        <v>6</v>
      </c>
      <c r="B1549">
        <v>9</v>
      </c>
      <c r="C1549">
        <v>1.56110860904057E-2</v>
      </c>
      <c r="D1549">
        <v>7002</v>
      </c>
      <c r="E1549">
        <v>63.688691139221099</v>
      </c>
    </row>
    <row r="1550" spans="1:5" x14ac:dyDescent="0.25">
      <c r="A1550" t="s">
        <v>5</v>
      </c>
      <c r="B1550">
        <v>10</v>
      </c>
      <c r="C1550">
        <v>1.13888744513193E-2</v>
      </c>
      <c r="D1550">
        <v>6960</v>
      </c>
      <c r="E1550">
        <v>111.905540466308</v>
      </c>
    </row>
    <row r="1551" spans="1:5" x14ac:dyDescent="0.25">
      <c r="A1551" t="s">
        <v>6</v>
      </c>
      <c r="B1551">
        <v>10</v>
      </c>
      <c r="C1551">
        <v>9.0277618169784506E-3</v>
      </c>
      <c r="D1551">
        <v>7002</v>
      </c>
      <c r="E1551">
        <v>63.838275671005199</v>
      </c>
    </row>
    <row r="1552" spans="1:5" x14ac:dyDescent="0.25">
      <c r="A1552" t="s">
        <v>5</v>
      </c>
      <c r="B1552">
        <v>11</v>
      </c>
      <c r="C1552">
        <v>5.1388808091481497E-3</v>
      </c>
      <c r="D1552">
        <v>6960</v>
      </c>
      <c r="E1552">
        <v>112.662948608398</v>
      </c>
    </row>
    <row r="1553" spans="1:5" x14ac:dyDescent="0.25">
      <c r="A1553" t="s">
        <v>6</v>
      </c>
      <c r="B1553">
        <v>11</v>
      </c>
      <c r="C1553">
        <v>8.7499862909317001E-3</v>
      </c>
      <c r="D1553">
        <v>7002</v>
      </c>
      <c r="E1553">
        <v>63.804066896438599</v>
      </c>
    </row>
    <row r="1554" spans="1:5" x14ac:dyDescent="0.25">
      <c r="A1554" t="s">
        <v>5</v>
      </c>
      <c r="B1554">
        <v>12</v>
      </c>
      <c r="C1554">
        <v>2.2083238760630202E-3</v>
      </c>
      <c r="D1554">
        <v>6960</v>
      </c>
      <c r="E1554">
        <v>128.31633734702999</v>
      </c>
    </row>
    <row r="1555" spans="1:5" x14ac:dyDescent="0.25">
      <c r="A1555" t="s">
        <v>6</v>
      </c>
      <c r="B1555">
        <v>12</v>
      </c>
      <c r="C1555">
        <v>3.2499831914901702E-3</v>
      </c>
      <c r="D1555">
        <v>7002</v>
      </c>
      <c r="E1555">
        <v>82.337635993957505</v>
      </c>
    </row>
    <row r="1556" spans="1:5" x14ac:dyDescent="0.25">
      <c r="A1556" t="s">
        <v>5</v>
      </c>
      <c r="B1556">
        <v>13</v>
      </c>
      <c r="C1556">
        <v>8.0555220444997102E-4</v>
      </c>
      <c r="D1556">
        <v>6960</v>
      </c>
      <c r="E1556">
        <v>128.19293212890599</v>
      </c>
    </row>
    <row r="1557" spans="1:5" x14ac:dyDescent="0.25">
      <c r="A1557" t="s">
        <v>6</v>
      </c>
      <c r="B1557">
        <v>13</v>
      </c>
      <c r="C1557">
        <v>5.6944131851196199E-4</v>
      </c>
      <c r="D1557">
        <v>7002</v>
      </c>
      <c r="E1557">
        <v>82.171161413192706</v>
      </c>
    </row>
    <row r="1558" spans="1:5" x14ac:dyDescent="0.25">
      <c r="A1558" t="s">
        <v>5</v>
      </c>
      <c r="B1558">
        <v>14</v>
      </c>
      <c r="C1558">
        <v>1.8518447875976501E-4</v>
      </c>
      <c r="D1558">
        <v>6960</v>
      </c>
      <c r="E1558">
        <v>164.44771695137001</v>
      </c>
    </row>
    <row r="1559" spans="1:5" x14ac:dyDescent="0.25">
      <c r="A1559" t="s">
        <v>6</v>
      </c>
      <c r="B1559">
        <v>14</v>
      </c>
      <c r="C1559">
        <v>6.0184935728708902E-4</v>
      </c>
      <c r="D1559">
        <v>7002</v>
      </c>
      <c r="E1559">
        <v>98.412688016891394</v>
      </c>
    </row>
    <row r="1560" spans="1:5" x14ac:dyDescent="0.25">
      <c r="A1560" t="s">
        <v>5</v>
      </c>
      <c r="B1560">
        <v>15</v>
      </c>
      <c r="C1560">
        <v>1.9444406032562199E-4</v>
      </c>
      <c r="D1560">
        <v>6960</v>
      </c>
      <c r="E1560">
        <v>163.15663981437601</v>
      </c>
    </row>
    <row r="1561" spans="1:5" x14ac:dyDescent="0.25">
      <c r="A1561" t="s">
        <v>6</v>
      </c>
      <c r="B1561">
        <v>15</v>
      </c>
      <c r="C1561">
        <v>1.01851224899291E-4</v>
      </c>
      <c r="D1561">
        <v>7002</v>
      </c>
      <c r="E1561">
        <v>97.997128725051795</v>
      </c>
    </row>
    <row r="1562" spans="1:5" x14ac:dyDescent="0.25">
      <c r="A1562" t="s">
        <v>5</v>
      </c>
      <c r="B1562">
        <v>16</v>
      </c>
      <c r="C1562">
        <v>1.7592529455820699E-4</v>
      </c>
      <c r="D1562">
        <v>6960</v>
      </c>
      <c r="E1562">
        <v>162.96871662139799</v>
      </c>
    </row>
    <row r="1563" spans="1:5" x14ac:dyDescent="0.25">
      <c r="A1563" t="s">
        <v>6</v>
      </c>
      <c r="B1563">
        <v>16</v>
      </c>
      <c r="C1563" s="1">
        <v>1.8518368403116801E-5</v>
      </c>
      <c r="D1563">
        <v>7002</v>
      </c>
      <c r="E1563">
        <v>97.956505775451603</v>
      </c>
    </row>
    <row r="1564" spans="1:5" x14ac:dyDescent="0.25">
      <c r="A1564" t="s">
        <v>5</v>
      </c>
      <c r="B1564">
        <v>17</v>
      </c>
      <c r="C1564">
        <v>0</v>
      </c>
      <c r="D1564">
        <v>6960</v>
      </c>
      <c r="E1564">
        <v>163.76126742362899</v>
      </c>
    </row>
    <row r="1565" spans="1:5" x14ac:dyDescent="0.25">
      <c r="A1565" t="s">
        <v>6</v>
      </c>
      <c r="B1565">
        <v>17</v>
      </c>
      <c r="C1565" s="1">
        <v>6.4814488093058206E-5</v>
      </c>
      <c r="D1565">
        <v>7002</v>
      </c>
      <c r="E1565">
        <v>98.308482170104895</v>
      </c>
    </row>
    <row r="1566" spans="1:5" x14ac:dyDescent="0.25">
      <c r="A1566" t="s">
        <v>5</v>
      </c>
      <c r="B1566">
        <v>0</v>
      </c>
      <c r="C1566">
        <v>0.18558329085508901</v>
      </c>
      <c r="D1566">
        <v>6960</v>
      </c>
      <c r="E1566">
        <v>112.301863908767</v>
      </c>
    </row>
    <row r="1567" spans="1:5" x14ac:dyDescent="0.25">
      <c r="A1567" t="s">
        <v>6</v>
      </c>
      <c r="B1567">
        <v>0</v>
      </c>
      <c r="C1567">
        <v>0.18047218124071701</v>
      </c>
      <c r="D1567">
        <v>7002</v>
      </c>
      <c r="E1567">
        <v>63.638590574264498</v>
      </c>
    </row>
    <row r="1568" spans="1:5" x14ac:dyDescent="0.25">
      <c r="A1568" t="s">
        <v>5</v>
      </c>
      <c r="B1568">
        <v>1</v>
      </c>
      <c r="C1568">
        <v>0.16322218159834501</v>
      </c>
      <c r="D1568">
        <v>6960</v>
      </c>
      <c r="E1568">
        <v>111.614163160324</v>
      </c>
    </row>
    <row r="1569" spans="1:5" x14ac:dyDescent="0.25">
      <c r="A1569" t="s">
        <v>6</v>
      </c>
      <c r="B1569">
        <v>1</v>
      </c>
      <c r="C1569">
        <v>0.15799995799859301</v>
      </c>
      <c r="D1569">
        <v>7002</v>
      </c>
      <c r="E1569">
        <v>63.786255836486802</v>
      </c>
    </row>
    <row r="1570" spans="1:5" x14ac:dyDescent="0.25">
      <c r="A1570" t="s">
        <v>5</v>
      </c>
      <c r="B1570">
        <v>2</v>
      </c>
      <c r="C1570">
        <v>0.14313884794712001</v>
      </c>
      <c r="D1570">
        <v>6960</v>
      </c>
      <c r="E1570">
        <v>112.301229476928</v>
      </c>
    </row>
    <row r="1571" spans="1:5" x14ac:dyDescent="0.25">
      <c r="A1571" t="s">
        <v>6</v>
      </c>
      <c r="B1571">
        <v>2</v>
      </c>
      <c r="C1571">
        <v>0.13466662526130599</v>
      </c>
      <c r="D1571">
        <v>7002</v>
      </c>
      <c r="E1571">
        <v>63.603938817977898</v>
      </c>
    </row>
    <row r="1572" spans="1:5" x14ac:dyDescent="0.25">
      <c r="A1572" t="s">
        <v>5</v>
      </c>
      <c r="B1572">
        <v>3</v>
      </c>
      <c r="C1572">
        <v>0.12088884751001901</v>
      </c>
      <c r="D1572">
        <v>6960</v>
      </c>
      <c r="E1572">
        <v>111.97872185707</v>
      </c>
    </row>
    <row r="1573" spans="1:5" x14ac:dyDescent="0.25">
      <c r="A1573" t="s">
        <v>6</v>
      </c>
      <c r="B1573">
        <v>3</v>
      </c>
      <c r="C1573">
        <v>0.109416625301043</v>
      </c>
      <c r="D1573">
        <v>7002</v>
      </c>
      <c r="E1573">
        <v>63.787422418594304</v>
      </c>
    </row>
    <row r="1574" spans="1:5" x14ac:dyDescent="0.25">
      <c r="A1574" t="s">
        <v>5</v>
      </c>
      <c r="B1574">
        <v>4</v>
      </c>
      <c r="C1574">
        <v>9.93332906564076E-2</v>
      </c>
      <c r="D1574">
        <v>6960</v>
      </c>
      <c r="E1574">
        <v>111.731952190399</v>
      </c>
    </row>
    <row r="1575" spans="1:5" x14ac:dyDescent="0.25">
      <c r="A1575" t="s">
        <v>6</v>
      </c>
      <c r="B1575">
        <v>4</v>
      </c>
      <c r="C1575">
        <v>8.8027733564376806E-2</v>
      </c>
      <c r="D1575">
        <v>7002</v>
      </c>
      <c r="E1575">
        <v>63.938627958297701</v>
      </c>
    </row>
    <row r="1576" spans="1:5" x14ac:dyDescent="0.25">
      <c r="A1576" t="s">
        <v>5</v>
      </c>
      <c r="B1576">
        <v>5</v>
      </c>
      <c r="C1576">
        <v>8.1333290338516204E-2</v>
      </c>
      <c r="D1576">
        <v>6960</v>
      </c>
      <c r="E1576">
        <v>112.375675439834</v>
      </c>
    </row>
    <row r="1577" spans="1:5" x14ac:dyDescent="0.25">
      <c r="A1577" t="s">
        <v>6</v>
      </c>
      <c r="B1577">
        <v>5</v>
      </c>
      <c r="C1577">
        <v>6.60555112361908E-2</v>
      </c>
      <c r="D1577">
        <v>7002</v>
      </c>
      <c r="E1577">
        <v>63.556230306625302</v>
      </c>
    </row>
    <row r="1578" spans="1:5" x14ac:dyDescent="0.25">
      <c r="A1578" t="s">
        <v>5</v>
      </c>
      <c r="B1578">
        <v>6</v>
      </c>
      <c r="C1578">
        <v>6.4222178657849599E-2</v>
      </c>
      <c r="D1578">
        <v>6960</v>
      </c>
      <c r="E1578">
        <v>111.295741319656</v>
      </c>
    </row>
    <row r="1579" spans="1:5" x14ac:dyDescent="0.25">
      <c r="A1579" t="s">
        <v>6</v>
      </c>
      <c r="B1579">
        <v>6</v>
      </c>
      <c r="C1579">
        <v>4.8749960263570098E-2</v>
      </c>
      <c r="D1579">
        <v>7002</v>
      </c>
      <c r="E1579">
        <v>63.586359024047802</v>
      </c>
    </row>
    <row r="1580" spans="1:5" x14ac:dyDescent="0.25">
      <c r="A1580" t="s">
        <v>5</v>
      </c>
      <c r="B1580">
        <v>8</v>
      </c>
      <c r="C1580">
        <v>3.4083297848701399E-2</v>
      </c>
      <c r="D1580">
        <v>6960</v>
      </c>
      <c r="E1580">
        <v>111.383571863174</v>
      </c>
    </row>
    <row r="1581" spans="1:5" x14ac:dyDescent="0.25">
      <c r="A1581" t="s">
        <v>6</v>
      </c>
      <c r="B1581">
        <v>8</v>
      </c>
      <c r="C1581">
        <v>2.5027742783228502E-2</v>
      </c>
      <c r="D1581">
        <v>7002</v>
      </c>
      <c r="E1581">
        <v>63.521789073943999</v>
      </c>
    </row>
    <row r="1582" spans="1:5" x14ac:dyDescent="0.25">
      <c r="A1582" t="s">
        <v>5</v>
      </c>
      <c r="B1582">
        <v>9</v>
      </c>
      <c r="C1582">
        <v>2.3999970952669699E-2</v>
      </c>
      <c r="D1582">
        <v>6960</v>
      </c>
      <c r="E1582">
        <v>111.712551832199</v>
      </c>
    </row>
    <row r="1583" spans="1:5" x14ac:dyDescent="0.25">
      <c r="A1583" t="s">
        <v>6</v>
      </c>
      <c r="B1583">
        <v>9</v>
      </c>
      <c r="C1583">
        <v>1.61110866069793E-2</v>
      </c>
      <c r="D1583">
        <v>7002</v>
      </c>
      <c r="E1583">
        <v>63.788470983505199</v>
      </c>
    </row>
    <row r="1584" spans="1:5" x14ac:dyDescent="0.25">
      <c r="A1584" t="s">
        <v>5</v>
      </c>
      <c r="B1584">
        <v>10</v>
      </c>
      <c r="C1584">
        <v>1.29722054799397E-2</v>
      </c>
      <c r="D1584">
        <v>6960</v>
      </c>
      <c r="E1584">
        <v>112.160012722015</v>
      </c>
    </row>
    <row r="1585" spans="1:5" x14ac:dyDescent="0.25">
      <c r="A1585" t="s">
        <v>6</v>
      </c>
      <c r="B1585">
        <v>10</v>
      </c>
      <c r="C1585">
        <v>9.0277602275212598E-3</v>
      </c>
      <c r="D1585">
        <v>7002</v>
      </c>
      <c r="E1585">
        <v>63.5908458232879</v>
      </c>
    </row>
    <row r="1586" spans="1:5" x14ac:dyDescent="0.25">
      <c r="A1586" t="s">
        <v>5</v>
      </c>
      <c r="B1586">
        <v>11</v>
      </c>
      <c r="C1586">
        <v>4.9999934434890696E-3</v>
      </c>
      <c r="D1586">
        <v>6960</v>
      </c>
      <c r="E1586">
        <v>112.33593583106899</v>
      </c>
    </row>
    <row r="1587" spans="1:5" x14ac:dyDescent="0.25">
      <c r="A1587" t="s">
        <v>6</v>
      </c>
      <c r="B1587">
        <v>11</v>
      </c>
      <c r="C1587">
        <v>6.0833207766215003E-3</v>
      </c>
      <c r="D1587">
        <v>7002</v>
      </c>
      <c r="E1587">
        <v>63.554202079772899</v>
      </c>
    </row>
    <row r="1588" spans="1:5" x14ac:dyDescent="0.25">
      <c r="A1588" t="s">
        <v>5</v>
      </c>
      <c r="B1588">
        <v>12</v>
      </c>
      <c r="C1588">
        <v>1.87499344348907E-3</v>
      </c>
      <c r="D1588">
        <v>6960</v>
      </c>
      <c r="E1588">
        <v>128.501499414443</v>
      </c>
    </row>
    <row r="1589" spans="1:5" x14ac:dyDescent="0.25">
      <c r="A1589" t="s">
        <v>6</v>
      </c>
      <c r="B1589">
        <v>12</v>
      </c>
      <c r="C1589">
        <v>1.05554938316345E-3</v>
      </c>
      <c r="D1589">
        <v>7002</v>
      </c>
      <c r="E1589">
        <v>82.293846607208195</v>
      </c>
    </row>
    <row r="1590" spans="1:5" x14ac:dyDescent="0.25">
      <c r="A1590" t="s">
        <v>5</v>
      </c>
      <c r="B1590">
        <v>13</v>
      </c>
      <c r="C1590">
        <v>1.08332991600036E-3</v>
      </c>
      <c r="D1590">
        <v>6960</v>
      </c>
      <c r="E1590">
        <v>127.86830306053101</v>
      </c>
    </row>
    <row r="1591" spans="1:5" x14ac:dyDescent="0.25">
      <c r="A1591" t="s">
        <v>6</v>
      </c>
      <c r="B1591">
        <v>13</v>
      </c>
      <c r="C1591">
        <v>6.8055172761281304E-4</v>
      </c>
      <c r="D1591">
        <v>7002</v>
      </c>
      <c r="E1591">
        <v>81.904549837112398</v>
      </c>
    </row>
    <row r="1592" spans="1:5" x14ac:dyDescent="0.25">
      <c r="A1592" t="s">
        <v>5</v>
      </c>
      <c r="B1592">
        <v>14</v>
      </c>
      <c r="C1592">
        <v>3.8888812065124501E-4</v>
      </c>
      <c r="D1592">
        <v>6960</v>
      </c>
      <c r="E1592">
        <v>164.42784547805701</v>
      </c>
    </row>
    <row r="1593" spans="1:5" x14ac:dyDescent="0.25">
      <c r="A1593" t="s">
        <v>6</v>
      </c>
      <c r="B1593">
        <v>14</v>
      </c>
      <c r="C1593">
        <v>2.4073978265126499E-4</v>
      </c>
      <c r="D1593">
        <v>7002</v>
      </c>
      <c r="E1593">
        <v>98.298280715942298</v>
      </c>
    </row>
    <row r="1594" spans="1:5" x14ac:dyDescent="0.25">
      <c r="A1594" t="s">
        <v>5</v>
      </c>
      <c r="B1594">
        <v>15</v>
      </c>
      <c r="C1594">
        <v>1.7592529455820699E-4</v>
      </c>
      <c r="D1594">
        <v>6960</v>
      </c>
      <c r="E1594">
        <v>163.43299293518001</v>
      </c>
    </row>
    <row r="1595" spans="1:5" x14ac:dyDescent="0.25">
      <c r="A1595" t="s">
        <v>6</v>
      </c>
      <c r="B1595">
        <v>15</v>
      </c>
      <c r="C1595">
        <v>1.20369593302408E-4</v>
      </c>
      <c r="D1595">
        <v>7002</v>
      </c>
      <c r="E1595">
        <v>98.047751903533893</v>
      </c>
    </row>
    <row r="1596" spans="1:5" x14ac:dyDescent="0.25">
      <c r="A1596" t="s">
        <v>5</v>
      </c>
      <c r="B1596">
        <v>16</v>
      </c>
      <c r="C1596">
        <v>0</v>
      </c>
      <c r="D1596">
        <v>6960</v>
      </c>
      <c r="E1596">
        <v>163.058826446533</v>
      </c>
    </row>
    <row r="1597" spans="1:5" x14ac:dyDescent="0.25">
      <c r="A1597" t="s">
        <v>6</v>
      </c>
      <c r="B1597">
        <v>16</v>
      </c>
      <c r="C1597" s="1">
        <v>4.6296119689941401E-5</v>
      </c>
      <c r="D1597">
        <v>7002</v>
      </c>
      <c r="E1597">
        <v>98.3126442432403</v>
      </c>
    </row>
    <row r="1598" spans="1:5" x14ac:dyDescent="0.25">
      <c r="A1598" t="s">
        <v>5</v>
      </c>
      <c r="B1598">
        <v>17</v>
      </c>
      <c r="C1598" s="1">
        <v>4.6296119689941401E-5</v>
      </c>
      <c r="D1598">
        <v>6960</v>
      </c>
      <c r="E1598">
        <v>163.43597984313899</v>
      </c>
    </row>
    <row r="1599" spans="1:5" x14ac:dyDescent="0.25">
      <c r="A1599" t="s">
        <v>6</v>
      </c>
      <c r="B1599">
        <v>17</v>
      </c>
      <c r="C1599">
        <v>0</v>
      </c>
      <c r="D1599">
        <v>7002</v>
      </c>
      <c r="E1599">
        <v>97.957423686981201</v>
      </c>
    </row>
    <row r="1600" spans="1:5" x14ac:dyDescent="0.25">
      <c r="A1600" t="s">
        <v>5</v>
      </c>
      <c r="B1600">
        <v>0</v>
      </c>
      <c r="C1600">
        <v>0.18602773586908899</v>
      </c>
      <c r="D1600">
        <v>6960</v>
      </c>
      <c r="E1600">
        <v>111.149786949157</v>
      </c>
    </row>
    <row r="1601" spans="1:5" x14ac:dyDescent="0.25">
      <c r="A1601" t="s">
        <v>6</v>
      </c>
      <c r="B1601">
        <v>0</v>
      </c>
      <c r="C1601">
        <v>0.17999995748202</v>
      </c>
      <c r="D1601">
        <v>7002</v>
      </c>
      <c r="E1601">
        <v>63.551872253417898</v>
      </c>
    </row>
    <row r="1602" spans="1:5" x14ac:dyDescent="0.25">
      <c r="A1602" t="s">
        <v>5</v>
      </c>
      <c r="B1602">
        <v>1</v>
      </c>
      <c r="C1602">
        <v>0.16244440317153899</v>
      </c>
      <c r="D1602">
        <v>6960</v>
      </c>
      <c r="E1602">
        <v>111.005724668502</v>
      </c>
    </row>
    <row r="1603" spans="1:5" x14ac:dyDescent="0.25">
      <c r="A1603" t="s">
        <v>6</v>
      </c>
      <c r="B1603">
        <v>1</v>
      </c>
      <c r="C1603">
        <v>0.157805513938268</v>
      </c>
      <c r="D1603">
        <v>7002</v>
      </c>
      <c r="E1603">
        <v>63.554188728332498</v>
      </c>
    </row>
    <row r="1604" spans="1:5" x14ac:dyDescent="0.25">
      <c r="A1604" t="s">
        <v>5</v>
      </c>
      <c r="B1604">
        <v>2</v>
      </c>
      <c r="C1604">
        <v>0.14577773571014399</v>
      </c>
      <c r="D1604">
        <v>6960</v>
      </c>
      <c r="E1604">
        <v>111.13275408744801</v>
      </c>
    </row>
    <row r="1605" spans="1:5" x14ac:dyDescent="0.25">
      <c r="A1605" t="s">
        <v>6</v>
      </c>
      <c r="B1605">
        <v>2</v>
      </c>
      <c r="C1605">
        <v>0.131722182035446</v>
      </c>
      <c r="D1605">
        <v>7002</v>
      </c>
      <c r="E1605">
        <v>63.387525558471602</v>
      </c>
    </row>
    <row r="1606" spans="1:5" x14ac:dyDescent="0.25">
      <c r="A1606" t="s">
        <v>5</v>
      </c>
      <c r="B1606">
        <v>3</v>
      </c>
      <c r="C1606">
        <v>0.119833293159802</v>
      </c>
      <c r="D1606">
        <v>6960</v>
      </c>
      <c r="E1606">
        <v>111.652805805206</v>
      </c>
    </row>
    <row r="1607" spans="1:5" x14ac:dyDescent="0.25">
      <c r="A1607" t="s">
        <v>6</v>
      </c>
      <c r="B1607">
        <v>3</v>
      </c>
      <c r="C1607">
        <v>0.110166623989741</v>
      </c>
      <c r="D1607">
        <v>7002</v>
      </c>
      <c r="E1607">
        <v>63.271716356277402</v>
      </c>
    </row>
    <row r="1608" spans="1:5" x14ac:dyDescent="0.25">
      <c r="A1608" t="s">
        <v>5</v>
      </c>
      <c r="B1608">
        <v>4</v>
      </c>
      <c r="C1608">
        <v>9.9861069520314497E-2</v>
      </c>
      <c r="D1608">
        <v>6960</v>
      </c>
      <c r="E1608">
        <v>129.83451819419801</v>
      </c>
    </row>
    <row r="1609" spans="1:5" x14ac:dyDescent="0.25">
      <c r="A1609" t="s">
        <v>6</v>
      </c>
      <c r="B1609">
        <v>4</v>
      </c>
      <c r="C1609">
        <v>8.8055513103802996E-2</v>
      </c>
      <c r="D1609">
        <v>7002</v>
      </c>
      <c r="E1609">
        <v>66.676928758621202</v>
      </c>
    </row>
    <row r="1610" spans="1:5" x14ac:dyDescent="0.25">
      <c r="A1610" t="s">
        <v>5</v>
      </c>
      <c r="B1610">
        <v>5</v>
      </c>
      <c r="C1610">
        <v>7.9194400310516305E-2</v>
      </c>
      <c r="D1610">
        <v>6960</v>
      </c>
      <c r="E1610">
        <v>123.311274766922</v>
      </c>
    </row>
    <row r="1611" spans="1:5" x14ac:dyDescent="0.25">
      <c r="A1611" t="s">
        <v>6</v>
      </c>
      <c r="B1611">
        <v>5</v>
      </c>
      <c r="C1611">
        <v>6.7749955654144198E-2</v>
      </c>
      <c r="D1611">
        <v>7002</v>
      </c>
      <c r="E1611">
        <v>72.099283695220905</v>
      </c>
    </row>
    <row r="1612" spans="1:5" x14ac:dyDescent="0.25">
      <c r="A1612" t="s">
        <v>5</v>
      </c>
      <c r="B1612">
        <v>6</v>
      </c>
      <c r="C1612">
        <v>6.2249956329663597E-2</v>
      </c>
      <c r="D1612">
        <v>6960</v>
      </c>
      <c r="E1612">
        <v>119.63245701789801</v>
      </c>
    </row>
    <row r="1613" spans="1:5" x14ac:dyDescent="0.25">
      <c r="A1613" t="s">
        <v>6</v>
      </c>
      <c r="B1613">
        <v>6</v>
      </c>
      <c r="C1613">
        <v>4.89444023370742E-2</v>
      </c>
      <c r="D1613">
        <v>7002</v>
      </c>
      <c r="E1613">
        <v>67.168770074844304</v>
      </c>
    </row>
    <row r="1614" spans="1:5" x14ac:dyDescent="0.25">
      <c r="A1614" t="s">
        <v>5</v>
      </c>
      <c r="B1614">
        <v>8</v>
      </c>
      <c r="C1614">
        <v>3.4861074884732501E-2</v>
      </c>
      <c r="D1614">
        <v>6960</v>
      </c>
      <c r="E1614">
        <v>117.103278160095</v>
      </c>
    </row>
    <row r="1615" spans="1:5" x14ac:dyDescent="0.25">
      <c r="A1615" t="s">
        <v>6</v>
      </c>
      <c r="B1615">
        <v>8</v>
      </c>
      <c r="C1615">
        <v>2.32499700784683E-2</v>
      </c>
      <c r="D1615">
        <v>7002</v>
      </c>
      <c r="E1615">
        <v>66.922840118408203</v>
      </c>
    </row>
    <row r="1616" spans="1:5" x14ac:dyDescent="0.25">
      <c r="A1616" t="s">
        <v>5</v>
      </c>
      <c r="B1616">
        <v>9</v>
      </c>
      <c r="C1616">
        <v>2.5527750651041601E-2</v>
      </c>
      <c r="D1616">
        <v>6960</v>
      </c>
      <c r="E1616">
        <v>113.886461257934</v>
      </c>
    </row>
    <row r="1617" spans="1:5" x14ac:dyDescent="0.25">
      <c r="A1617" t="s">
        <v>6</v>
      </c>
      <c r="B1617">
        <v>9</v>
      </c>
      <c r="C1617">
        <v>1.62777513265609E-2</v>
      </c>
      <c r="D1617">
        <v>7002</v>
      </c>
      <c r="E1617">
        <v>66.088618755340505</v>
      </c>
    </row>
    <row r="1618" spans="1:5" x14ac:dyDescent="0.25">
      <c r="A1618" t="s">
        <v>5</v>
      </c>
      <c r="B1618">
        <v>10</v>
      </c>
      <c r="C1618">
        <v>1.22499823570251E-2</v>
      </c>
      <c r="D1618">
        <v>6960</v>
      </c>
      <c r="E1618">
        <v>112.700841903686</v>
      </c>
    </row>
    <row r="1619" spans="1:5" x14ac:dyDescent="0.25">
      <c r="A1619" t="s">
        <v>6</v>
      </c>
      <c r="B1619">
        <v>10</v>
      </c>
      <c r="C1619">
        <v>1.10277587175369E-2</v>
      </c>
      <c r="D1619">
        <v>7002</v>
      </c>
      <c r="E1619">
        <v>64.388566970825195</v>
      </c>
    </row>
    <row r="1620" spans="1:5" x14ac:dyDescent="0.25">
      <c r="A1620" t="s">
        <v>5</v>
      </c>
      <c r="B1620">
        <v>11</v>
      </c>
      <c r="C1620">
        <v>6.1944371461868201E-3</v>
      </c>
      <c r="D1620">
        <v>6960</v>
      </c>
      <c r="E1620">
        <v>112.40148138999901</v>
      </c>
    </row>
    <row r="1621" spans="1:5" x14ac:dyDescent="0.25">
      <c r="A1621" t="s">
        <v>6</v>
      </c>
      <c r="B1621">
        <v>11</v>
      </c>
      <c r="C1621">
        <v>6.4722112814585304E-3</v>
      </c>
      <c r="D1621">
        <v>7002</v>
      </c>
      <c r="E1621">
        <v>64.106136083602905</v>
      </c>
    </row>
    <row r="1622" spans="1:5" x14ac:dyDescent="0.25">
      <c r="A1622" t="s">
        <v>5</v>
      </c>
      <c r="B1622">
        <v>12</v>
      </c>
      <c r="C1622">
        <v>2.33332395553588E-3</v>
      </c>
      <c r="D1622">
        <v>6960</v>
      </c>
      <c r="E1622">
        <v>127.77921009063699</v>
      </c>
    </row>
    <row r="1623" spans="1:5" x14ac:dyDescent="0.25">
      <c r="A1623" t="s">
        <v>6</v>
      </c>
      <c r="B1623">
        <v>12</v>
      </c>
      <c r="C1623">
        <v>2.1805453300475998E-3</v>
      </c>
      <c r="D1623">
        <v>7002</v>
      </c>
      <c r="E1623">
        <v>82.455261230468693</v>
      </c>
    </row>
    <row r="1624" spans="1:5" x14ac:dyDescent="0.25">
      <c r="A1624" t="s">
        <v>5</v>
      </c>
      <c r="B1624">
        <v>13</v>
      </c>
      <c r="C1624">
        <v>1.0277738173802601E-3</v>
      </c>
      <c r="D1624">
        <v>6960</v>
      </c>
      <c r="E1624">
        <v>129.44235301017699</v>
      </c>
    </row>
    <row r="1625" spans="1:5" x14ac:dyDescent="0.25">
      <c r="A1625" t="s">
        <v>6</v>
      </c>
      <c r="B1625">
        <v>13</v>
      </c>
      <c r="C1625">
        <v>1.12499356269836E-3</v>
      </c>
      <c r="D1625">
        <v>7002</v>
      </c>
      <c r="E1625">
        <v>86.1762628555297</v>
      </c>
    </row>
    <row r="1626" spans="1:5" x14ac:dyDescent="0.25">
      <c r="A1626" t="s">
        <v>5</v>
      </c>
      <c r="B1626">
        <v>14</v>
      </c>
      <c r="C1626">
        <v>4.5370260874430301E-4</v>
      </c>
      <c r="D1626">
        <v>6960</v>
      </c>
      <c r="E1626">
        <v>222.06778693199101</v>
      </c>
    </row>
    <row r="1627" spans="1:5" x14ac:dyDescent="0.25">
      <c r="A1627" t="s">
        <v>6</v>
      </c>
      <c r="B1627">
        <v>14</v>
      </c>
      <c r="C1627">
        <v>5.2777588367462097E-4</v>
      </c>
      <c r="D1627">
        <v>7002</v>
      </c>
      <c r="E1627">
        <v>99.346614360809298</v>
      </c>
    </row>
    <row r="1628" spans="1:5" x14ac:dyDescent="0.25">
      <c r="A1628" t="s">
        <v>5</v>
      </c>
      <c r="B1628">
        <v>15</v>
      </c>
      <c r="C1628" s="1">
        <v>8.33332538604736E-5</v>
      </c>
      <c r="D1628">
        <v>6960</v>
      </c>
      <c r="E1628">
        <v>170.55522227287199</v>
      </c>
    </row>
    <row r="1629" spans="1:5" x14ac:dyDescent="0.25">
      <c r="A1629" t="s">
        <v>6</v>
      </c>
      <c r="B1629">
        <v>15</v>
      </c>
      <c r="C1629">
        <v>1.20369791984558E-4</v>
      </c>
      <c r="D1629">
        <v>7002</v>
      </c>
      <c r="E1629">
        <v>99.152868747711096</v>
      </c>
    </row>
    <row r="1630" spans="1:5" x14ac:dyDescent="0.25">
      <c r="A1630" t="s">
        <v>5</v>
      </c>
      <c r="B1630">
        <v>16</v>
      </c>
      <c r="C1630" s="1">
        <v>2.7777751286824498E-5</v>
      </c>
      <c r="D1630">
        <v>6960</v>
      </c>
      <c r="E1630">
        <v>165.50301599502501</v>
      </c>
    </row>
    <row r="1631" spans="1:5" x14ac:dyDescent="0.25">
      <c r="A1631" t="s">
        <v>6</v>
      </c>
      <c r="B1631">
        <v>16</v>
      </c>
      <c r="C1631" s="1">
        <v>5.5555105209350501E-5</v>
      </c>
      <c r="D1631">
        <v>7002</v>
      </c>
      <c r="E1631">
        <v>98.288784742355304</v>
      </c>
    </row>
    <row r="1632" spans="1:5" x14ac:dyDescent="0.25">
      <c r="A1632" t="s">
        <v>5</v>
      </c>
      <c r="B1632">
        <v>17</v>
      </c>
      <c r="C1632">
        <v>0</v>
      </c>
      <c r="D1632">
        <v>6960</v>
      </c>
      <c r="E1632">
        <v>167.50704407691899</v>
      </c>
    </row>
    <row r="1633" spans="1:5" x14ac:dyDescent="0.25">
      <c r="A1633" t="s">
        <v>6</v>
      </c>
      <c r="B1633">
        <v>17</v>
      </c>
      <c r="C1633" s="1">
        <v>1.8518368403116801E-5</v>
      </c>
      <c r="D1633">
        <v>7002</v>
      </c>
      <c r="E1633">
        <v>98.330464363098102</v>
      </c>
    </row>
    <row r="1634" spans="1:5" x14ac:dyDescent="0.25">
      <c r="A1634" t="s">
        <v>5</v>
      </c>
      <c r="B1634">
        <v>0</v>
      </c>
      <c r="C1634">
        <v>0.18930551250775601</v>
      </c>
      <c r="D1634">
        <v>6960</v>
      </c>
      <c r="E1634">
        <v>112.20407104492099</v>
      </c>
    </row>
    <row r="1635" spans="1:5" x14ac:dyDescent="0.25">
      <c r="A1635" t="s">
        <v>6</v>
      </c>
      <c r="B1635">
        <v>0</v>
      </c>
      <c r="C1635">
        <v>0.18008329093456199</v>
      </c>
      <c r="D1635">
        <v>7002</v>
      </c>
      <c r="E1635">
        <v>63.973037481307898</v>
      </c>
    </row>
    <row r="1636" spans="1:5" x14ac:dyDescent="0.25">
      <c r="A1636" t="s">
        <v>5</v>
      </c>
      <c r="B1636">
        <v>1</v>
      </c>
      <c r="C1636">
        <v>0.16463884592056199</v>
      </c>
      <c r="D1636">
        <v>6960</v>
      </c>
      <c r="E1636">
        <v>111.49547600746099</v>
      </c>
    </row>
    <row r="1637" spans="1:5" x14ac:dyDescent="0.25">
      <c r="A1637" t="s">
        <v>6</v>
      </c>
      <c r="B1637">
        <v>1</v>
      </c>
      <c r="C1637">
        <v>0.15855551441510499</v>
      </c>
      <c r="D1637">
        <v>7002</v>
      </c>
      <c r="E1637">
        <v>63.853990554809499</v>
      </c>
    </row>
    <row r="1638" spans="1:5" x14ac:dyDescent="0.25">
      <c r="A1638" t="s">
        <v>5</v>
      </c>
      <c r="B1638">
        <v>2</v>
      </c>
      <c r="C1638">
        <v>0.14077773630619</v>
      </c>
      <c r="D1638">
        <v>6960</v>
      </c>
      <c r="E1638">
        <v>111.882802724838</v>
      </c>
    </row>
    <row r="1639" spans="1:5" x14ac:dyDescent="0.25">
      <c r="A1639" t="s">
        <v>6</v>
      </c>
      <c r="B1639">
        <v>2</v>
      </c>
      <c r="C1639">
        <v>0.13411106924215899</v>
      </c>
      <c r="D1639">
        <v>7002</v>
      </c>
      <c r="E1639">
        <v>63.567940473556497</v>
      </c>
    </row>
    <row r="1640" spans="1:5" x14ac:dyDescent="0.25">
      <c r="A1640" t="s">
        <v>5</v>
      </c>
      <c r="B1640">
        <v>3</v>
      </c>
      <c r="C1640">
        <v>0.12055551568667</v>
      </c>
      <c r="D1640">
        <v>6960</v>
      </c>
      <c r="E1640">
        <v>112.01698255538901</v>
      </c>
    </row>
    <row r="1641" spans="1:5" x14ac:dyDescent="0.25">
      <c r="A1641" t="s">
        <v>6</v>
      </c>
      <c r="B1641">
        <v>3</v>
      </c>
      <c r="C1641">
        <v>0.110027735829353</v>
      </c>
      <c r="D1641">
        <v>7002</v>
      </c>
      <c r="E1641">
        <v>63.704176425933802</v>
      </c>
    </row>
    <row r="1642" spans="1:5" x14ac:dyDescent="0.25">
      <c r="A1642" t="s">
        <v>5</v>
      </c>
      <c r="B1642">
        <v>4</v>
      </c>
      <c r="C1642">
        <v>0.100194403529167</v>
      </c>
      <c r="D1642">
        <v>6960</v>
      </c>
      <c r="E1642">
        <v>111.315928697586</v>
      </c>
    </row>
    <row r="1643" spans="1:5" x14ac:dyDescent="0.25">
      <c r="A1643" t="s">
        <v>6</v>
      </c>
      <c r="B1643">
        <v>4</v>
      </c>
      <c r="C1643">
        <v>8.5444400310516297E-2</v>
      </c>
      <c r="D1643">
        <v>7002</v>
      </c>
      <c r="E1643">
        <v>63.538478136062601</v>
      </c>
    </row>
    <row r="1644" spans="1:5" x14ac:dyDescent="0.25">
      <c r="A1644" t="s">
        <v>5</v>
      </c>
      <c r="B1644">
        <v>5</v>
      </c>
      <c r="C1644">
        <v>8.1472178697585995E-2</v>
      </c>
      <c r="D1644">
        <v>6960</v>
      </c>
      <c r="E1644">
        <v>111.568043708801</v>
      </c>
    </row>
    <row r="1645" spans="1:5" x14ac:dyDescent="0.25">
      <c r="A1645" t="s">
        <v>6</v>
      </c>
      <c r="B1645">
        <v>5</v>
      </c>
      <c r="C1645">
        <v>6.5027736226717606E-2</v>
      </c>
      <c r="D1645">
        <v>7002</v>
      </c>
      <c r="E1645">
        <v>64.1886239051818</v>
      </c>
    </row>
    <row r="1646" spans="1:5" x14ac:dyDescent="0.25">
      <c r="A1646" t="s">
        <v>5</v>
      </c>
      <c r="B1646">
        <v>6</v>
      </c>
      <c r="C1646">
        <v>6.1611067454020098E-2</v>
      </c>
      <c r="D1646">
        <v>6960</v>
      </c>
      <c r="E1646">
        <v>111.97942399978599</v>
      </c>
    </row>
    <row r="1647" spans="1:5" x14ac:dyDescent="0.25">
      <c r="A1647" t="s">
        <v>6</v>
      </c>
      <c r="B1647">
        <v>6</v>
      </c>
      <c r="C1647">
        <v>5.0194402138392102E-2</v>
      </c>
      <c r="D1647">
        <v>7002</v>
      </c>
      <c r="E1647">
        <v>63.705332517623901</v>
      </c>
    </row>
    <row r="1648" spans="1:5" x14ac:dyDescent="0.25">
      <c r="A1648" t="s">
        <v>5</v>
      </c>
      <c r="B1648">
        <v>8</v>
      </c>
      <c r="C1648">
        <v>3.3277741471926303E-2</v>
      </c>
      <c r="D1648">
        <v>6960</v>
      </c>
      <c r="E1648">
        <v>112.666832447052</v>
      </c>
    </row>
    <row r="1649" spans="1:5" x14ac:dyDescent="0.25">
      <c r="A1649" t="s">
        <v>6</v>
      </c>
      <c r="B1649">
        <v>8</v>
      </c>
      <c r="C1649">
        <v>2.5055524110794002E-2</v>
      </c>
      <c r="D1649">
        <v>7002</v>
      </c>
      <c r="E1649">
        <v>63.523679494857703</v>
      </c>
    </row>
    <row r="1650" spans="1:5" x14ac:dyDescent="0.25">
      <c r="A1650" t="s">
        <v>5</v>
      </c>
      <c r="B1650">
        <v>9</v>
      </c>
      <c r="C1650">
        <v>2.0805527766545599E-2</v>
      </c>
      <c r="D1650">
        <v>6960</v>
      </c>
      <c r="E1650">
        <v>112.017433166503</v>
      </c>
    </row>
    <row r="1651" spans="1:5" x14ac:dyDescent="0.25">
      <c r="A1651" t="s">
        <v>6</v>
      </c>
      <c r="B1651">
        <v>9</v>
      </c>
      <c r="C1651">
        <v>1.7638862729072498E-2</v>
      </c>
      <c r="D1651">
        <v>7002</v>
      </c>
      <c r="E1651">
        <v>63.705058336257899</v>
      </c>
    </row>
    <row r="1652" spans="1:5" x14ac:dyDescent="0.25">
      <c r="A1652" t="s">
        <v>5</v>
      </c>
      <c r="B1652">
        <v>10</v>
      </c>
      <c r="C1652">
        <v>1.19444286823272E-2</v>
      </c>
      <c r="D1652">
        <v>6960</v>
      </c>
      <c r="E1652">
        <v>112.59913635253901</v>
      </c>
    </row>
    <row r="1653" spans="1:5" x14ac:dyDescent="0.25">
      <c r="A1653" t="s">
        <v>6</v>
      </c>
      <c r="B1653">
        <v>10</v>
      </c>
      <c r="C1653">
        <v>1.0444425145785001E-2</v>
      </c>
      <c r="D1653">
        <v>7002</v>
      </c>
      <c r="E1653">
        <v>63.801169157028198</v>
      </c>
    </row>
    <row r="1654" spans="1:5" x14ac:dyDescent="0.25">
      <c r="A1654" t="s">
        <v>5</v>
      </c>
      <c r="B1654">
        <v>11</v>
      </c>
      <c r="C1654">
        <v>7.1111013491948396E-3</v>
      </c>
      <c r="D1654">
        <v>6960</v>
      </c>
      <c r="E1654">
        <v>112.032491445541</v>
      </c>
    </row>
    <row r="1655" spans="1:5" x14ac:dyDescent="0.25">
      <c r="A1655" t="s">
        <v>6</v>
      </c>
      <c r="B1655">
        <v>11</v>
      </c>
      <c r="C1655">
        <v>5.1944351196289004E-3</v>
      </c>
      <c r="D1655">
        <v>7002</v>
      </c>
      <c r="E1655">
        <v>63.706162452697697</v>
      </c>
    </row>
    <row r="1656" spans="1:5" x14ac:dyDescent="0.25">
      <c r="A1656" t="s">
        <v>5</v>
      </c>
      <c r="B1656">
        <v>12</v>
      </c>
      <c r="C1656">
        <v>2.4305456876754701E-3</v>
      </c>
      <c r="D1656">
        <v>6960</v>
      </c>
      <c r="E1656">
        <v>127.535629034042</v>
      </c>
    </row>
    <row r="1657" spans="1:5" x14ac:dyDescent="0.25">
      <c r="A1657" t="s">
        <v>6</v>
      </c>
      <c r="B1657">
        <v>12</v>
      </c>
      <c r="C1657">
        <v>2.4305423100789299E-3</v>
      </c>
      <c r="D1657">
        <v>7002</v>
      </c>
      <c r="E1657">
        <v>81.988804101943899</v>
      </c>
    </row>
    <row r="1658" spans="1:5" x14ac:dyDescent="0.25">
      <c r="A1658" t="s">
        <v>5</v>
      </c>
      <c r="B1658">
        <v>13</v>
      </c>
      <c r="C1658">
        <v>8.8888585567474304E-4</v>
      </c>
      <c r="D1658">
        <v>6960</v>
      </c>
      <c r="E1658">
        <v>127.94914221763599</v>
      </c>
    </row>
    <row r="1659" spans="1:5" x14ac:dyDescent="0.25">
      <c r="A1659" t="s">
        <v>6</v>
      </c>
      <c r="B1659">
        <v>13</v>
      </c>
      <c r="C1659">
        <v>8.8888406753539996E-4</v>
      </c>
      <c r="D1659">
        <v>7002</v>
      </c>
      <c r="E1659">
        <v>82.955443143844604</v>
      </c>
    </row>
    <row r="1660" spans="1:5" x14ac:dyDescent="0.25">
      <c r="A1660" t="s">
        <v>5</v>
      </c>
      <c r="B1660">
        <v>14</v>
      </c>
      <c r="C1660">
        <v>5.8333138624827E-4</v>
      </c>
      <c r="D1660">
        <v>6960</v>
      </c>
      <c r="E1660">
        <v>183.66675305366499</v>
      </c>
    </row>
    <row r="1661" spans="1:5" x14ac:dyDescent="0.25">
      <c r="A1661" t="s">
        <v>6</v>
      </c>
      <c r="B1661">
        <v>14</v>
      </c>
      <c r="C1661">
        <v>2.7777671813964799E-4</v>
      </c>
      <c r="D1661">
        <v>7002</v>
      </c>
      <c r="E1661">
        <v>99.103166341781602</v>
      </c>
    </row>
    <row r="1662" spans="1:5" x14ac:dyDescent="0.25">
      <c r="A1662" t="s">
        <v>5</v>
      </c>
      <c r="B1662">
        <v>15</v>
      </c>
      <c r="C1662">
        <v>1.20370189348856E-4</v>
      </c>
      <c r="D1662">
        <v>6960</v>
      </c>
      <c r="E1662">
        <v>168.40145897865199</v>
      </c>
    </row>
    <row r="1663" spans="1:5" x14ac:dyDescent="0.25">
      <c r="A1663" t="s">
        <v>6</v>
      </c>
      <c r="B1663">
        <v>15</v>
      </c>
      <c r="C1663" s="1">
        <v>3.7036736806233697E-5</v>
      </c>
      <c r="D1663">
        <v>7002</v>
      </c>
      <c r="E1663">
        <v>99.400205373763995</v>
      </c>
    </row>
    <row r="1664" spans="1:5" x14ac:dyDescent="0.25">
      <c r="A1664" t="s">
        <v>5</v>
      </c>
      <c r="B1664">
        <v>16</v>
      </c>
      <c r="C1664" s="1">
        <v>6.4814686775207497E-5</v>
      </c>
      <c r="D1664">
        <v>6960</v>
      </c>
      <c r="E1664">
        <v>165.585044384002</v>
      </c>
    </row>
    <row r="1665" spans="1:5" x14ac:dyDescent="0.25">
      <c r="A1665" t="s">
        <v>6</v>
      </c>
      <c r="B1665">
        <v>16</v>
      </c>
      <c r="C1665" s="1">
        <v>1.8518368403116801E-5</v>
      </c>
      <c r="D1665">
        <v>7002</v>
      </c>
      <c r="E1665">
        <v>98.531544685363698</v>
      </c>
    </row>
    <row r="1666" spans="1:5" x14ac:dyDescent="0.25">
      <c r="A1666" t="s">
        <v>5</v>
      </c>
      <c r="B1666">
        <v>17</v>
      </c>
      <c r="C1666" s="1">
        <v>2.7777751286824498E-5</v>
      </c>
      <c r="D1666">
        <v>6960</v>
      </c>
      <c r="E1666">
        <v>165.57670664787199</v>
      </c>
    </row>
    <row r="1667" spans="1:5" x14ac:dyDescent="0.25">
      <c r="A1667" t="s">
        <v>6</v>
      </c>
      <c r="B1667">
        <v>17</v>
      </c>
      <c r="C1667">
        <v>0</v>
      </c>
      <c r="D1667">
        <v>7002</v>
      </c>
      <c r="E1667">
        <v>98.264844655990601</v>
      </c>
    </row>
    <row r="1668" spans="1:5" x14ac:dyDescent="0.25">
      <c r="A1668" t="s">
        <v>5</v>
      </c>
      <c r="B1668">
        <v>0</v>
      </c>
      <c r="C1668">
        <v>0.18808329184850001</v>
      </c>
      <c r="D1668">
        <v>6960</v>
      </c>
      <c r="E1668">
        <v>111.427581310272</v>
      </c>
    </row>
    <row r="1669" spans="1:5" x14ac:dyDescent="0.25">
      <c r="A1669" t="s">
        <v>6</v>
      </c>
      <c r="B1669">
        <v>0</v>
      </c>
      <c r="C1669">
        <v>0.17961106956004999</v>
      </c>
      <c r="D1669">
        <v>7002</v>
      </c>
      <c r="E1669">
        <v>63.6375699043273</v>
      </c>
    </row>
    <row r="1670" spans="1:5" x14ac:dyDescent="0.25">
      <c r="A1670" t="s">
        <v>5</v>
      </c>
      <c r="B1670">
        <v>1</v>
      </c>
      <c r="C1670">
        <v>0.16574995855490299</v>
      </c>
      <c r="D1670">
        <v>6960</v>
      </c>
      <c r="E1670">
        <v>112.248646974563</v>
      </c>
    </row>
    <row r="1671" spans="1:5" x14ac:dyDescent="0.25">
      <c r="A1671" t="s">
        <v>6</v>
      </c>
      <c r="B1671">
        <v>1</v>
      </c>
      <c r="C1671">
        <v>0.15713884909947701</v>
      </c>
      <c r="D1671">
        <v>7002</v>
      </c>
      <c r="E1671">
        <v>63.903052568435598</v>
      </c>
    </row>
    <row r="1672" spans="1:5" x14ac:dyDescent="0.25">
      <c r="A1672" t="s">
        <v>5</v>
      </c>
      <c r="B1672">
        <v>2</v>
      </c>
      <c r="C1672">
        <v>0.14386106888453101</v>
      </c>
      <c r="D1672">
        <v>6960</v>
      </c>
      <c r="E1672">
        <v>111.601757764816</v>
      </c>
    </row>
    <row r="1673" spans="1:5" x14ac:dyDescent="0.25">
      <c r="A1673" t="s">
        <v>6</v>
      </c>
      <c r="B1673">
        <v>2</v>
      </c>
      <c r="C1673">
        <v>0.133055513302485</v>
      </c>
      <c r="D1673">
        <v>7002</v>
      </c>
      <c r="E1673">
        <v>63.671843528747502</v>
      </c>
    </row>
    <row r="1674" spans="1:5" x14ac:dyDescent="0.25">
      <c r="A1674" t="s">
        <v>5</v>
      </c>
      <c r="B1674">
        <v>3</v>
      </c>
      <c r="C1674">
        <v>0.12202773710091901</v>
      </c>
      <c r="D1674">
        <v>6960</v>
      </c>
      <c r="E1674">
        <v>112.151531934738</v>
      </c>
    </row>
    <row r="1675" spans="1:5" x14ac:dyDescent="0.25">
      <c r="A1675" t="s">
        <v>6</v>
      </c>
      <c r="B1675">
        <v>3</v>
      </c>
      <c r="C1675">
        <v>0.110611068805058</v>
      </c>
      <c r="D1675">
        <v>7002</v>
      </c>
      <c r="E1675">
        <v>63.687416791915801</v>
      </c>
    </row>
    <row r="1676" spans="1:5" x14ac:dyDescent="0.25">
      <c r="A1676" t="s">
        <v>5</v>
      </c>
      <c r="B1676">
        <v>4</v>
      </c>
      <c r="C1676">
        <v>0.10208328982194199</v>
      </c>
      <c r="D1676">
        <v>6960</v>
      </c>
      <c r="E1676">
        <v>111.578388690948</v>
      </c>
    </row>
    <row r="1677" spans="1:5" x14ac:dyDescent="0.25">
      <c r="A1677" t="s">
        <v>6</v>
      </c>
      <c r="B1677">
        <v>4</v>
      </c>
      <c r="C1677">
        <v>8.7055512865384405E-2</v>
      </c>
      <c r="D1677">
        <v>7002</v>
      </c>
      <c r="E1677">
        <v>63.672803878784102</v>
      </c>
    </row>
    <row r="1678" spans="1:5" x14ac:dyDescent="0.25">
      <c r="A1678" t="s">
        <v>5</v>
      </c>
      <c r="B1678">
        <v>5</v>
      </c>
      <c r="C1678">
        <v>7.8694400191306996E-2</v>
      </c>
      <c r="D1678">
        <v>6960</v>
      </c>
      <c r="E1678">
        <v>112.244818210601</v>
      </c>
    </row>
    <row r="1679" spans="1:5" x14ac:dyDescent="0.25">
      <c r="A1679" t="s">
        <v>6</v>
      </c>
      <c r="B1679">
        <v>5</v>
      </c>
      <c r="C1679">
        <v>6.5805511673291503E-2</v>
      </c>
      <c r="D1679">
        <v>7002</v>
      </c>
      <c r="E1679">
        <v>63.872800827026303</v>
      </c>
    </row>
    <row r="1680" spans="1:5" x14ac:dyDescent="0.25">
      <c r="A1680" t="s">
        <v>5</v>
      </c>
      <c r="B1680">
        <v>6</v>
      </c>
      <c r="C1680">
        <v>5.8194400866826299E-2</v>
      </c>
      <c r="D1680">
        <v>6960</v>
      </c>
      <c r="E1680">
        <v>111.584160566329</v>
      </c>
    </row>
    <row r="1681" spans="1:5" x14ac:dyDescent="0.25">
      <c r="A1681" t="s">
        <v>6</v>
      </c>
      <c r="B1681">
        <v>6</v>
      </c>
      <c r="C1681">
        <v>5.0499958594640099E-2</v>
      </c>
      <c r="D1681">
        <v>7002</v>
      </c>
      <c r="E1681">
        <v>63.905320167541497</v>
      </c>
    </row>
    <row r="1682" spans="1:5" x14ac:dyDescent="0.25">
      <c r="A1682" t="s">
        <v>5</v>
      </c>
      <c r="B1682">
        <v>8</v>
      </c>
      <c r="C1682">
        <v>3.1999965707460998E-2</v>
      </c>
      <c r="D1682">
        <v>6960</v>
      </c>
      <c r="E1682">
        <v>111.99758028984</v>
      </c>
    </row>
    <row r="1683" spans="1:5" x14ac:dyDescent="0.25">
      <c r="A1683" t="s">
        <v>6</v>
      </c>
      <c r="B1683">
        <v>8</v>
      </c>
      <c r="C1683">
        <v>2.6166633963584901E-2</v>
      </c>
      <c r="D1683">
        <v>7002</v>
      </c>
      <c r="E1683">
        <v>63.955234766006399</v>
      </c>
    </row>
    <row r="1684" spans="1:5" x14ac:dyDescent="0.25">
      <c r="A1684" t="s">
        <v>5</v>
      </c>
      <c r="B1684">
        <v>9</v>
      </c>
      <c r="C1684">
        <v>2.23610858122507E-2</v>
      </c>
      <c r="D1684">
        <v>6960</v>
      </c>
      <c r="E1684">
        <v>112.685651063919</v>
      </c>
    </row>
    <row r="1685" spans="1:5" x14ac:dyDescent="0.25">
      <c r="A1685" t="s">
        <v>6</v>
      </c>
      <c r="B1685">
        <v>9</v>
      </c>
      <c r="C1685">
        <v>1.5194420417149799E-2</v>
      </c>
      <c r="D1685">
        <v>7002</v>
      </c>
      <c r="E1685">
        <v>63.553886413574197</v>
      </c>
    </row>
    <row r="1686" spans="1:5" x14ac:dyDescent="0.25">
      <c r="A1686" t="s">
        <v>5</v>
      </c>
      <c r="B1686">
        <v>10</v>
      </c>
      <c r="C1686">
        <v>1.31110950311024E-2</v>
      </c>
      <c r="D1686">
        <v>6960</v>
      </c>
      <c r="E1686">
        <v>112.13508272171001</v>
      </c>
    </row>
    <row r="1687" spans="1:5" x14ac:dyDescent="0.25">
      <c r="A1687" t="s">
        <v>6</v>
      </c>
      <c r="B1687">
        <v>10</v>
      </c>
      <c r="C1687">
        <v>1.14166450500488E-2</v>
      </c>
      <c r="D1687">
        <v>7002</v>
      </c>
      <c r="E1687">
        <v>63.7541184425354</v>
      </c>
    </row>
    <row r="1688" spans="1:5" x14ac:dyDescent="0.25">
      <c r="A1688" t="s">
        <v>5</v>
      </c>
      <c r="B1688">
        <v>11</v>
      </c>
      <c r="C1688">
        <v>7.1944342056910098E-3</v>
      </c>
      <c r="D1688">
        <v>6960</v>
      </c>
      <c r="E1688">
        <v>112.16513466835001</v>
      </c>
    </row>
    <row r="1689" spans="1:5" x14ac:dyDescent="0.25">
      <c r="A1689" t="s">
        <v>6</v>
      </c>
      <c r="B1689">
        <v>11</v>
      </c>
      <c r="C1689">
        <v>4.7222123543421398E-3</v>
      </c>
      <c r="D1689">
        <v>7002</v>
      </c>
      <c r="E1689">
        <v>64.003311634063706</v>
      </c>
    </row>
    <row r="1690" spans="1:5" x14ac:dyDescent="0.25">
      <c r="A1690" t="s">
        <v>5</v>
      </c>
      <c r="B1690">
        <v>12</v>
      </c>
      <c r="C1690">
        <v>1.65277163187662E-3</v>
      </c>
      <c r="D1690">
        <v>6960</v>
      </c>
      <c r="E1690">
        <v>128.99189162254299</v>
      </c>
    </row>
    <row r="1691" spans="1:5" x14ac:dyDescent="0.25">
      <c r="A1691" t="s">
        <v>6</v>
      </c>
      <c r="B1691">
        <v>12</v>
      </c>
      <c r="C1691">
        <v>1.3611032565434701E-3</v>
      </c>
      <c r="D1691">
        <v>7002</v>
      </c>
      <c r="E1691">
        <v>82.594061136245699</v>
      </c>
    </row>
    <row r="1692" spans="1:5" x14ac:dyDescent="0.25">
      <c r="A1692" t="s">
        <v>5</v>
      </c>
      <c r="B1692">
        <v>13</v>
      </c>
      <c r="C1692">
        <v>1.1666617790857901E-3</v>
      </c>
      <c r="D1692">
        <v>6960</v>
      </c>
      <c r="E1692">
        <v>127.918061733245</v>
      </c>
    </row>
    <row r="1693" spans="1:5" x14ac:dyDescent="0.25">
      <c r="A1693" t="s">
        <v>6</v>
      </c>
      <c r="B1693">
        <v>13</v>
      </c>
      <c r="C1693">
        <v>1.4583257834116601E-3</v>
      </c>
      <c r="D1693">
        <v>7002</v>
      </c>
      <c r="E1693">
        <v>82.703287363052297</v>
      </c>
    </row>
    <row r="1694" spans="1:5" x14ac:dyDescent="0.25">
      <c r="A1694" t="s">
        <v>5</v>
      </c>
      <c r="B1694">
        <v>14</v>
      </c>
      <c r="C1694">
        <v>3.3333222071329702E-4</v>
      </c>
      <c r="D1694">
        <v>6960</v>
      </c>
      <c r="E1694">
        <v>173.56985497474599</v>
      </c>
    </row>
    <row r="1695" spans="1:5" x14ac:dyDescent="0.25">
      <c r="A1695" t="s">
        <v>6</v>
      </c>
      <c r="B1695">
        <v>14</v>
      </c>
      <c r="C1695">
        <v>6.7592322826385502E-4</v>
      </c>
      <c r="D1695">
        <v>7002</v>
      </c>
      <c r="E1695">
        <v>98.842343568801795</v>
      </c>
    </row>
    <row r="1696" spans="1:5" x14ac:dyDescent="0.25">
      <c r="A1696" t="s">
        <v>5</v>
      </c>
      <c r="B1696">
        <v>15</v>
      </c>
      <c r="C1696">
        <v>1.48147940635681E-4</v>
      </c>
      <c r="D1696">
        <v>6960</v>
      </c>
      <c r="E1696">
        <v>168.09724926948499</v>
      </c>
    </row>
    <row r="1697" spans="1:5" x14ac:dyDescent="0.25">
      <c r="A1697" t="s">
        <v>6</v>
      </c>
      <c r="B1697">
        <v>15</v>
      </c>
      <c r="C1697">
        <v>3.7962794303894002E-4</v>
      </c>
      <c r="D1697">
        <v>7002</v>
      </c>
      <c r="E1697">
        <v>98.214828968048096</v>
      </c>
    </row>
    <row r="1698" spans="1:5" x14ac:dyDescent="0.25">
      <c r="A1698" t="s">
        <v>5</v>
      </c>
      <c r="B1698">
        <v>16</v>
      </c>
      <c r="C1698">
        <v>1.3888855775197299E-4</v>
      </c>
      <c r="D1698">
        <v>6960</v>
      </c>
      <c r="E1698">
        <v>165.10008215904199</v>
      </c>
    </row>
    <row r="1699" spans="1:5" x14ac:dyDescent="0.25">
      <c r="A1699" t="s">
        <v>6</v>
      </c>
      <c r="B1699">
        <v>16</v>
      </c>
      <c r="C1699" s="1">
        <v>3.7036736806233697E-5</v>
      </c>
      <c r="D1699">
        <v>7002</v>
      </c>
      <c r="E1699">
        <v>98.611496210098196</v>
      </c>
    </row>
    <row r="1700" spans="1:5" x14ac:dyDescent="0.25">
      <c r="A1700" t="s">
        <v>5</v>
      </c>
      <c r="B1700">
        <v>17</v>
      </c>
      <c r="C1700" s="1">
        <v>5.5555502573648997E-5</v>
      </c>
      <c r="D1700">
        <v>6960</v>
      </c>
      <c r="E1700">
        <v>165.810797214508</v>
      </c>
    </row>
    <row r="1701" spans="1:5" x14ac:dyDescent="0.25">
      <c r="A1701" t="s">
        <v>6</v>
      </c>
      <c r="B1701">
        <v>17</v>
      </c>
      <c r="C1701" s="1">
        <v>1.8518368403116801E-5</v>
      </c>
      <c r="D1701">
        <v>7002</v>
      </c>
      <c r="E1701">
        <v>98.491926670074406</v>
      </c>
    </row>
    <row r="1702" spans="1:5" x14ac:dyDescent="0.25">
      <c r="A1702" t="s">
        <v>5</v>
      </c>
      <c r="B1702">
        <v>0</v>
      </c>
      <c r="C1702">
        <v>0.187138845324516</v>
      </c>
      <c r="D1702">
        <v>6960</v>
      </c>
      <c r="E1702">
        <v>111.624666213989</v>
      </c>
    </row>
    <row r="1703" spans="1:5" x14ac:dyDescent="0.25">
      <c r="A1703" t="s">
        <v>6</v>
      </c>
      <c r="B1703">
        <v>0</v>
      </c>
      <c r="C1703">
        <v>0.17944440424442201</v>
      </c>
      <c r="D1703">
        <v>7002</v>
      </c>
      <c r="E1703">
        <v>64.020582914352403</v>
      </c>
    </row>
    <row r="1704" spans="1:5" x14ac:dyDescent="0.25">
      <c r="A1704" t="s">
        <v>5</v>
      </c>
      <c r="B1704">
        <v>1</v>
      </c>
      <c r="C1704">
        <v>0.160499958197275</v>
      </c>
      <c r="D1704">
        <v>6960</v>
      </c>
      <c r="E1704">
        <v>111.96216416358899</v>
      </c>
    </row>
    <row r="1705" spans="1:5" x14ac:dyDescent="0.25">
      <c r="A1705" t="s">
        <v>6</v>
      </c>
      <c r="B1705">
        <v>1</v>
      </c>
      <c r="C1705">
        <v>0.15688884894053101</v>
      </c>
      <c r="D1705">
        <v>7002</v>
      </c>
      <c r="E1705">
        <v>63.671802997589097</v>
      </c>
    </row>
    <row r="1706" spans="1:5" x14ac:dyDescent="0.25">
      <c r="A1706" t="s">
        <v>5</v>
      </c>
      <c r="B1706">
        <v>2</v>
      </c>
      <c r="C1706">
        <v>0.142361070712407</v>
      </c>
      <c r="D1706">
        <v>6960</v>
      </c>
      <c r="E1706">
        <v>111.885528564453</v>
      </c>
    </row>
    <row r="1707" spans="1:5" x14ac:dyDescent="0.25">
      <c r="A1707" t="s">
        <v>6</v>
      </c>
      <c r="B1707">
        <v>2</v>
      </c>
      <c r="C1707">
        <v>0.13199995915095</v>
      </c>
      <c r="D1707">
        <v>7002</v>
      </c>
      <c r="E1707">
        <v>64.020894527435303</v>
      </c>
    </row>
    <row r="1708" spans="1:5" x14ac:dyDescent="0.25">
      <c r="A1708" t="s">
        <v>5</v>
      </c>
      <c r="B1708">
        <v>3</v>
      </c>
      <c r="C1708">
        <v>0.117999959985415</v>
      </c>
      <c r="D1708">
        <v>6960</v>
      </c>
      <c r="E1708">
        <v>111.27774333953801</v>
      </c>
    </row>
    <row r="1709" spans="1:5" x14ac:dyDescent="0.25">
      <c r="A1709" t="s">
        <v>6</v>
      </c>
      <c r="B1709">
        <v>3</v>
      </c>
      <c r="C1709">
        <v>0.109194400906562</v>
      </c>
      <c r="D1709">
        <v>7002</v>
      </c>
      <c r="E1709">
        <v>63.760319948196397</v>
      </c>
    </row>
    <row r="1710" spans="1:5" x14ac:dyDescent="0.25">
      <c r="A1710" t="s">
        <v>5</v>
      </c>
      <c r="B1710">
        <v>4</v>
      </c>
      <c r="C1710">
        <v>9.7833291093508398E-2</v>
      </c>
      <c r="D1710">
        <v>6960</v>
      </c>
      <c r="E1710">
        <v>111.547663688659</v>
      </c>
    </row>
    <row r="1711" spans="1:5" x14ac:dyDescent="0.25">
      <c r="A1711" t="s">
        <v>6</v>
      </c>
      <c r="B1711">
        <v>4</v>
      </c>
      <c r="C1711">
        <v>8.7111067573229395E-2</v>
      </c>
      <c r="D1711">
        <v>7002</v>
      </c>
      <c r="E1711">
        <v>63.778073310852001</v>
      </c>
    </row>
    <row r="1712" spans="1:5" x14ac:dyDescent="0.25">
      <c r="A1712" t="s">
        <v>5</v>
      </c>
      <c r="B1712">
        <v>5</v>
      </c>
      <c r="C1712">
        <v>7.8749956289927106E-2</v>
      </c>
      <c r="D1712">
        <v>6960</v>
      </c>
      <c r="E1712">
        <v>112.144726991653</v>
      </c>
    </row>
    <row r="1713" spans="1:5" x14ac:dyDescent="0.25">
      <c r="A1713" t="s">
        <v>6</v>
      </c>
      <c r="B1713">
        <v>5</v>
      </c>
      <c r="C1713">
        <v>6.7416623632113107E-2</v>
      </c>
      <c r="D1713">
        <v>7002</v>
      </c>
      <c r="E1713">
        <v>63.506230831146198</v>
      </c>
    </row>
    <row r="1714" spans="1:5" x14ac:dyDescent="0.25">
      <c r="A1714" t="s">
        <v>5</v>
      </c>
      <c r="B1714">
        <v>6</v>
      </c>
      <c r="C1714">
        <v>5.9555513262748702E-2</v>
      </c>
      <c r="D1714">
        <v>6960</v>
      </c>
      <c r="E1714">
        <v>111.77887582778899</v>
      </c>
    </row>
    <row r="1715" spans="1:5" x14ac:dyDescent="0.25">
      <c r="A1715" t="s">
        <v>6</v>
      </c>
      <c r="B1715">
        <v>6</v>
      </c>
      <c r="C1715">
        <v>4.9166625340779598E-2</v>
      </c>
      <c r="D1715">
        <v>7002</v>
      </c>
      <c r="E1715">
        <v>63.555201768875101</v>
      </c>
    </row>
    <row r="1716" spans="1:5" x14ac:dyDescent="0.25">
      <c r="A1716" t="s">
        <v>5</v>
      </c>
      <c r="B1716">
        <v>8</v>
      </c>
      <c r="C1716">
        <v>3.5749965707461001E-2</v>
      </c>
      <c r="D1716">
        <v>6960</v>
      </c>
      <c r="E1716">
        <v>112.422868490219</v>
      </c>
    </row>
    <row r="1717" spans="1:5" x14ac:dyDescent="0.25">
      <c r="A1717" t="s">
        <v>6</v>
      </c>
      <c r="B1717">
        <v>8</v>
      </c>
      <c r="C1717">
        <v>2.4333301186561501E-2</v>
      </c>
      <c r="D1717">
        <v>7002</v>
      </c>
      <c r="E1717">
        <v>63.801926374435403</v>
      </c>
    </row>
    <row r="1718" spans="1:5" x14ac:dyDescent="0.25">
      <c r="A1718" t="s">
        <v>5</v>
      </c>
      <c r="B1718">
        <v>9</v>
      </c>
      <c r="C1718">
        <v>2.36110818386077E-2</v>
      </c>
      <c r="D1718">
        <v>6960</v>
      </c>
      <c r="E1718">
        <v>112.412636280059</v>
      </c>
    </row>
    <row r="1719" spans="1:5" x14ac:dyDescent="0.25">
      <c r="A1719" t="s">
        <v>6</v>
      </c>
      <c r="B1719">
        <v>9</v>
      </c>
      <c r="C1719">
        <v>1.7722196181615101E-2</v>
      </c>
      <c r="D1719">
        <v>7002</v>
      </c>
      <c r="E1719">
        <v>63.925189733505199</v>
      </c>
    </row>
    <row r="1720" spans="1:5" x14ac:dyDescent="0.25">
      <c r="A1720" t="s">
        <v>5</v>
      </c>
      <c r="B1720">
        <v>10</v>
      </c>
      <c r="C1720">
        <v>1.0999985337257301E-2</v>
      </c>
      <c r="D1720">
        <v>6960</v>
      </c>
      <c r="E1720">
        <v>112.052089452743</v>
      </c>
    </row>
    <row r="1721" spans="1:5" x14ac:dyDescent="0.25">
      <c r="A1721" t="s">
        <v>6</v>
      </c>
      <c r="B1721">
        <v>10</v>
      </c>
      <c r="C1721">
        <v>9.27775998910268E-3</v>
      </c>
      <c r="D1721">
        <v>7002</v>
      </c>
      <c r="E1721">
        <v>63.655115365981999</v>
      </c>
    </row>
    <row r="1722" spans="1:5" x14ac:dyDescent="0.25">
      <c r="A1722" t="s">
        <v>5</v>
      </c>
      <c r="B1722">
        <v>11</v>
      </c>
      <c r="C1722">
        <v>5.9722131490707398E-3</v>
      </c>
      <c r="D1722">
        <v>6960</v>
      </c>
      <c r="E1722">
        <v>112.249406814575</v>
      </c>
    </row>
    <row r="1723" spans="1:5" x14ac:dyDescent="0.25">
      <c r="A1723" t="s">
        <v>6</v>
      </c>
      <c r="B1723">
        <v>11</v>
      </c>
      <c r="C1723">
        <v>7.5833195447921704E-3</v>
      </c>
      <c r="D1723">
        <v>7002</v>
      </c>
      <c r="E1723">
        <v>63.756088972091597</v>
      </c>
    </row>
    <row r="1724" spans="1:5" x14ac:dyDescent="0.25">
      <c r="A1724" t="s">
        <v>5</v>
      </c>
      <c r="B1724">
        <v>12</v>
      </c>
      <c r="C1724">
        <v>2.6111018657684298E-3</v>
      </c>
      <c r="D1724">
        <v>6960</v>
      </c>
      <c r="E1724">
        <v>127.67139077186501</v>
      </c>
    </row>
    <row r="1725" spans="1:5" x14ac:dyDescent="0.25">
      <c r="A1725" t="s">
        <v>6</v>
      </c>
      <c r="B1725">
        <v>12</v>
      </c>
      <c r="C1725">
        <v>1.5555469195048001E-3</v>
      </c>
      <c r="D1725">
        <v>7002</v>
      </c>
      <c r="E1725">
        <v>82.322090625762897</v>
      </c>
    </row>
    <row r="1726" spans="1:5" x14ac:dyDescent="0.25">
      <c r="A1726" t="s">
        <v>5</v>
      </c>
      <c r="B1726">
        <v>13</v>
      </c>
      <c r="C1726">
        <v>1.0694400469462E-3</v>
      </c>
      <c r="D1726">
        <v>6960</v>
      </c>
      <c r="E1726">
        <v>128.52766299247699</v>
      </c>
    </row>
    <row r="1727" spans="1:5" x14ac:dyDescent="0.25">
      <c r="A1727" t="s">
        <v>6</v>
      </c>
      <c r="B1727">
        <v>13</v>
      </c>
      <c r="C1727">
        <v>9.7221712271372399E-4</v>
      </c>
      <c r="D1727">
        <v>7002</v>
      </c>
      <c r="E1727">
        <v>82.669158220291095</v>
      </c>
    </row>
    <row r="1728" spans="1:5" x14ac:dyDescent="0.25">
      <c r="A1728" t="s">
        <v>5</v>
      </c>
      <c r="B1728">
        <v>14</v>
      </c>
      <c r="C1728">
        <v>4.0740668773651099E-4</v>
      </c>
      <c r="D1728">
        <v>6960</v>
      </c>
      <c r="E1728">
        <v>170.429848194122</v>
      </c>
    </row>
    <row r="1729" spans="1:5" x14ac:dyDescent="0.25">
      <c r="A1729" t="s">
        <v>6</v>
      </c>
      <c r="B1729">
        <v>14</v>
      </c>
      <c r="C1729">
        <v>3.9814631144205698E-4</v>
      </c>
      <c r="D1729">
        <v>7002</v>
      </c>
      <c r="E1729">
        <v>98.767044067382798</v>
      </c>
    </row>
    <row r="1730" spans="1:5" x14ac:dyDescent="0.25">
      <c r="A1730" t="s">
        <v>5</v>
      </c>
      <c r="B1730">
        <v>15</v>
      </c>
      <c r="C1730">
        <v>1.11110806465148E-4</v>
      </c>
      <c r="D1730">
        <v>6960</v>
      </c>
      <c r="E1730">
        <v>170.383629083633</v>
      </c>
    </row>
    <row r="1731" spans="1:5" x14ac:dyDescent="0.25">
      <c r="A1731" t="s">
        <v>6</v>
      </c>
      <c r="B1731">
        <v>15</v>
      </c>
      <c r="C1731" s="1">
        <v>9.2592040697733497E-5</v>
      </c>
      <c r="D1731">
        <v>7002</v>
      </c>
      <c r="E1731">
        <v>98.485445737838702</v>
      </c>
    </row>
    <row r="1732" spans="1:5" x14ac:dyDescent="0.25">
      <c r="A1732" t="s">
        <v>5</v>
      </c>
      <c r="B1732">
        <v>16</v>
      </c>
      <c r="C1732" s="1">
        <v>3.7036935488382901E-5</v>
      </c>
      <c r="D1732">
        <v>6960</v>
      </c>
      <c r="E1732">
        <v>165.45960903167699</v>
      </c>
    </row>
    <row r="1733" spans="1:5" x14ac:dyDescent="0.25">
      <c r="A1733" t="s">
        <v>6</v>
      </c>
      <c r="B1733">
        <v>16</v>
      </c>
      <c r="C1733" s="1">
        <v>6.4814488093058206E-5</v>
      </c>
      <c r="D1733">
        <v>7002</v>
      </c>
      <c r="E1733">
        <v>98.592927694320593</v>
      </c>
    </row>
    <row r="1734" spans="1:5" x14ac:dyDescent="0.25">
      <c r="A1734" t="s">
        <v>5</v>
      </c>
      <c r="B1734">
        <v>17</v>
      </c>
      <c r="C1734" s="1">
        <v>1.8518368403116801E-5</v>
      </c>
      <c r="D1734">
        <v>6960</v>
      </c>
      <c r="E1734">
        <v>165.91842293739299</v>
      </c>
    </row>
    <row r="1735" spans="1:5" x14ac:dyDescent="0.25">
      <c r="A1735" t="s">
        <v>6</v>
      </c>
      <c r="B1735">
        <v>17</v>
      </c>
      <c r="C1735">
        <v>0</v>
      </c>
      <c r="D1735">
        <v>7002</v>
      </c>
      <c r="E1735">
        <v>98.796149969100895</v>
      </c>
    </row>
    <row r="1736" spans="1:5" x14ac:dyDescent="0.25">
      <c r="A1736" t="s">
        <v>5</v>
      </c>
      <c r="B1736">
        <v>0</v>
      </c>
      <c r="C1736">
        <v>0.18505551397800399</v>
      </c>
      <c r="D1736">
        <v>6960</v>
      </c>
      <c r="E1736">
        <v>112.063060760498</v>
      </c>
    </row>
    <row r="1737" spans="1:5" x14ac:dyDescent="0.25">
      <c r="A1737" t="s">
        <v>6</v>
      </c>
      <c r="B1737">
        <v>0</v>
      </c>
      <c r="C1737">
        <v>0.18002773523330601</v>
      </c>
      <c r="D1737">
        <v>7002</v>
      </c>
      <c r="E1737">
        <v>63.821897745132397</v>
      </c>
    </row>
    <row r="1738" spans="1:5" x14ac:dyDescent="0.25">
      <c r="A1738" t="s">
        <v>5</v>
      </c>
      <c r="B1738">
        <v>1</v>
      </c>
      <c r="C1738">
        <v>0.16480551362037599</v>
      </c>
      <c r="D1738">
        <v>6960</v>
      </c>
      <c r="E1738">
        <v>112.09085869789099</v>
      </c>
    </row>
    <row r="1739" spans="1:5" x14ac:dyDescent="0.25">
      <c r="A1739" t="s">
        <v>6</v>
      </c>
      <c r="B1739">
        <v>1</v>
      </c>
      <c r="C1739">
        <v>0.156277735829353</v>
      </c>
      <c r="D1739">
        <v>7002</v>
      </c>
      <c r="E1739">
        <v>63.603163242340003</v>
      </c>
    </row>
    <row r="1740" spans="1:5" x14ac:dyDescent="0.25">
      <c r="A1740" t="s">
        <v>5</v>
      </c>
      <c r="B1740">
        <v>2</v>
      </c>
      <c r="C1740">
        <v>0.13908329149087201</v>
      </c>
      <c r="D1740">
        <v>6960</v>
      </c>
      <c r="E1740">
        <v>112.217170000076</v>
      </c>
    </row>
    <row r="1741" spans="1:5" x14ac:dyDescent="0.25">
      <c r="A1741" t="s">
        <v>6</v>
      </c>
      <c r="B1741">
        <v>2</v>
      </c>
      <c r="C1741">
        <v>0.13283329387505799</v>
      </c>
      <c r="D1741">
        <v>7002</v>
      </c>
      <c r="E1741">
        <v>63.722919940948401</v>
      </c>
    </row>
    <row r="1742" spans="1:5" x14ac:dyDescent="0.25">
      <c r="A1742" t="s">
        <v>5</v>
      </c>
      <c r="B1742">
        <v>3</v>
      </c>
      <c r="C1742">
        <v>0.12044440448284099</v>
      </c>
      <c r="D1742">
        <v>6960</v>
      </c>
      <c r="E1742">
        <v>112.751368045806</v>
      </c>
    </row>
    <row r="1743" spans="1:5" x14ac:dyDescent="0.25">
      <c r="A1743" t="s">
        <v>6</v>
      </c>
      <c r="B1743">
        <v>3</v>
      </c>
      <c r="C1743">
        <v>0.110138849417368</v>
      </c>
      <c r="D1743">
        <v>7002</v>
      </c>
      <c r="E1743">
        <v>63.870960474014197</v>
      </c>
    </row>
    <row r="1744" spans="1:5" x14ac:dyDescent="0.25">
      <c r="A1744" t="s">
        <v>5</v>
      </c>
      <c r="B1744">
        <v>4</v>
      </c>
      <c r="C1744">
        <v>9.8999957442283598E-2</v>
      </c>
      <c r="D1744">
        <v>6960</v>
      </c>
      <c r="E1744">
        <v>111.65756702423</v>
      </c>
    </row>
    <row r="1745" spans="1:5" x14ac:dyDescent="0.25">
      <c r="A1745" t="s">
        <v>6</v>
      </c>
      <c r="B1745">
        <v>4</v>
      </c>
      <c r="C1745">
        <v>8.7555511395136496E-2</v>
      </c>
      <c r="D1745">
        <v>7002</v>
      </c>
      <c r="E1745">
        <v>63.644439697265597</v>
      </c>
    </row>
    <row r="1746" spans="1:5" x14ac:dyDescent="0.25">
      <c r="A1746" t="s">
        <v>5</v>
      </c>
      <c r="B1746">
        <v>5</v>
      </c>
      <c r="C1746">
        <v>7.7944400707880598E-2</v>
      </c>
      <c r="D1746">
        <v>6960</v>
      </c>
      <c r="E1746">
        <v>111.411700963974</v>
      </c>
    </row>
    <row r="1747" spans="1:5" x14ac:dyDescent="0.25">
      <c r="A1747" t="s">
        <v>6</v>
      </c>
      <c r="B1747">
        <v>5</v>
      </c>
      <c r="C1747">
        <v>6.7472179333368895E-2</v>
      </c>
      <c r="D1747">
        <v>7002</v>
      </c>
      <c r="E1747">
        <v>63.6541428565979</v>
      </c>
    </row>
    <row r="1748" spans="1:5" x14ac:dyDescent="0.25">
      <c r="A1748" t="s">
        <v>5</v>
      </c>
      <c r="B1748">
        <v>6</v>
      </c>
      <c r="C1748">
        <v>6.4777734875679005E-2</v>
      </c>
      <c r="D1748">
        <v>6960</v>
      </c>
      <c r="E1748">
        <v>112.11246228218</v>
      </c>
    </row>
    <row r="1749" spans="1:5" x14ac:dyDescent="0.25">
      <c r="A1749" t="s">
        <v>6</v>
      </c>
      <c r="B1749">
        <v>6</v>
      </c>
      <c r="C1749">
        <v>4.5611070593198098E-2</v>
      </c>
      <c r="D1749">
        <v>7002</v>
      </c>
      <c r="E1749">
        <v>63.770931482315</v>
      </c>
    </row>
    <row r="1750" spans="1:5" x14ac:dyDescent="0.25">
      <c r="A1750" t="s">
        <v>5</v>
      </c>
      <c r="B1750">
        <v>8</v>
      </c>
      <c r="C1750">
        <v>3.18332970142364E-2</v>
      </c>
      <c r="D1750">
        <v>6960</v>
      </c>
      <c r="E1750">
        <v>113.353484869003</v>
      </c>
    </row>
    <row r="1751" spans="1:5" x14ac:dyDescent="0.25">
      <c r="A1751" t="s">
        <v>6</v>
      </c>
      <c r="B1751">
        <v>8</v>
      </c>
      <c r="C1751">
        <v>2.43333013852437E-2</v>
      </c>
      <c r="D1751">
        <v>7002</v>
      </c>
      <c r="E1751">
        <v>63.855204820632899</v>
      </c>
    </row>
    <row r="1752" spans="1:5" x14ac:dyDescent="0.25">
      <c r="A1752" t="s">
        <v>5</v>
      </c>
      <c r="B1752">
        <v>9</v>
      </c>
      <c r="C1752">
        <v>2.2916639645894299E-2</v>
      </c>
      <c r="D1752">
        <v>6960</v>
      </c>
      <c r="E1752">
        <v>111.91286444664</v>
      </c>
    </row>
    <row r="1753" spans="1:5" x14ac:dyDescent="0.25">
      <c r="A1753" t="s">
        <v>6</v>
      </c>
      <c r="B1753">
        <v>9</v>
      </c>
      <c r="C1753">
        <v>1.8166638612747098E-2</v>
      </c>
      <c r="D1753">
        <v>7002</v>
      </c>
      <c r="E1753">
        <v>63.837527036666799</v>
      </c>
    </row>
    <row r="1754" spans="1:5" x14ac:dyDescent="0.25">
      <c r="A1754" t="s">
        <v>5</v>
      </c>
      <c r="B1754">
        <v>10</v>
      </c>
      <c r="C1754">
        <v>1.2749983270963E-2</v>
      </c>
      <c r="D1754">
        <v>6960</v>
      </c>
      <c r="E1754">
        <v>112.289292812347</v>
      </c>
    </row>
    <row r="1755" spans="1:5" x14ac:dyDescent="0.25">
      <c r="A1755" t="s">
        <v>6</v>
      </c>
      <c r="B1755">
        <v>10</v>
      </c>
      <c r="C1755">
        <v>1.0749980608622201E-2</v>
      </c>
      <c r="D1755">
        <v>7002</v>
      </c>
      <c r="E1755">
        <v>63.994083166122401</v>
      </c>
    </row>
    <row r="1756" spans="1:5" x14ac:dyDescent="0.25">
      <c r="A1756" t="s">
        <v>5</v>
      </c>
      <c r="B1756">
        <v>11</v>
      </c>
      <c r="C1756">
        <v>5.1666593551635701E-3</v>
      </c>
      <c r="D1756">
        <v>6960</v>
      </c>
      <c r="E1756">
        <v>111.929407835006</v>
      </c>
    </row>
    <row r="1757" spans="1:5" x14ac:dyDescent="0.25">
      <c r="A1757" t="s">
        <v>6</v>
      </c>
      <c r="B1757">
        <v>11</v>
      </c>
      <c r="C1757">
        <v>6.91665371259053E-3</v>
      </c>
      <c r="D1757">
        <v>7002</v>
      </c>
      <c r="E1757">
        <v>63.826797008514397</v>
      </c>
    </row>
    <row r="1758" spans="1:5" x14ac:dyDescent="0.25">
      <c r="A1758" t="s">
        <v>5</v>
      </c>
      <c r="B1758">
        <v>12</v>
      </c>
      <c r="C1758">
        <v>2.1388804912567099E-3</v>
      </c>
      <c r="D1758">
        <v>6960</v>
      </c>
      <c r="E1758">
        <v>127.77391052246</v>
      </c>
    </row>
    <row r="1759" spans="1:5" x14ac:dyDescent="0.25">
      <c r="A1759" t="s">
        <v>6</v>
      </c>
      <c r="B1759">
        <v>12</v>
      </c>
      <c r="C1759">
        <v>2.7499848604202199E-3</v>
      </c>
      <c r="D1759">
        <v>7002</v>
      </c>
      <c r="E1759">
        <v>82.105465650558401</v>
      </c>
    </row>
    <row r="1760" spans="1:5" x14ac:dyDescent="0.25">
      <c r="A1760" t="s">
        <v>5</v>
      </c>
      <c r="B1760">
        <v>13</v>
      </c>
      <c r="C1760">
        <v>6.6666384538014703E-4</v>
      </c>
      <c r="D1760">
        <v>6960</v>
      </c>
      <c r="E1760">
        <v>129.10553026199301</v>
      </c>
    </row>
    <row r="1761" spans="1:5" x14ac:dyDescent="0.25">
      <c r="A1761" t="s">
        <v>6</v>
      </c>
      <c r="B1761">
        <v>13</v>
      </c>
      <c r="C1761">
        <v>9.7221712271372399E-4</v>
      </c>
      <c r="D1761">
        <v>7002</v>
      </c>
      <c r="E1761">
        <v>82.72292304039</v>
      </c>
    </row>
    <row r="1762" spans="1:5" x14ac:dyDescent="0.25">
      <c r="A1762" t="s">
        <v>5</v>
      </c>
      <c r="B1762">
        <v>14</v>
      </c>
      <c r="C1762">
        <v>2.0370304584503099E-4</v>
      </c>
      <c r="D1762">
        <v>6960</v>
      </c>
      <c r="E1762">
        <v>203.06277394294699</v>
      </c>
    </row>
    <row r="1763" spans="1:5" x14ac:dyDescent="0.25">
      <c r="A1763" t="s">
        <v>6</v>
      </c>
      <c r="B1763">
        <v>14</v>
      </c>
      <c r="C1763">
        <v>3.8888732592264801E-4</v>
      </c>
      <c r="D1763">
        <v>7002</v>
      </c>
      <c r="E1763">
        <v>98.791919231414795</v>
      </c>
    </row>
    <row r="1764" spans="1:5" x14ac:dyDescent="0.25">
      <c r="A1764" t="s">
        <v>5</v>
      </c>
      <c r="B1764">
        <v>15</v>
      </c>
      <c r="C1764">
        <v>1.6666630903879799E-4</v>
      </c>
      <c r="D1764">
        <v>6960</v>
      </c>
      <c r="E1764">
        <v>169.51353430747901</v>
      </c>
    </row>
    <row r="1765" spans="1:5" x14ac:dyDescent="0.25">
      <c r="A1765" t="s">
        <v>6</v>
      </c>
      <c r="B1765">
        <v>15</v>
      </c>
      <c r="C1765">
        <v>1.3888835906982399E-4</v>
      </c>
      <c r="D1765">
        <v>7002</v>
      </c>
      <c r="E1765">
        <v>100.023750782012</v>
      </c>
    </row>
    <row r="1766" spans="1:5" x14ac:dyDescent="0.25">
      <c r="A1766" t="s">
        <v>5</v>
      </c>
      <c r="B1766">
        <v>16</v>
      </c>
      <c r="C1766">
        <v>1.2036999066670701E-4</v>
      </c>
      <c r="D1766">
        <v>6960</v>
      </c>
      <c r="E1766">
        <v>167.22793436050401</v>
      </c>
    </row>
    <row r="1767" spans="1:5" x14ac:dyDescent="0.25">
      <c r="A1767" t="s">
        <v>6</v>
      </c>
      <c r="B1767">
        <v>16</v>
      </c>
      <c r="C1767" s="1">
        <v>3.7036935488382901E-5</v>
      </c>
      <c r="D1767">
        <v>7002</v>
      </c>
      <c r="E1767">
        <v>98.447027683258</v>
      </c>
    </row>
    <row r="1768" spans="1:5" x14ac:dyDescent="0.25">
      <c r="A1768" t="s">
        <v>5</v>
      </c>
      <c r="B1768">
        <v>17</v>
      </c>
      <c r="C1768" s="1">
        <v>3.7036935488382901E-5</v>
      </c>
      <c r="D1768">
        <v>6960</v>
      </c>
      <c r="E1768">
        <v>166.72824954986501</v>
      </c>
    </row>
    <row r="1769" spans="1:5" x14ac:dyDescent="0.25">
      <c r="A1769" t="s">
        <v>6</v>
      </c>
      <c r="B1769">
        <v>17</v>
      </c>
      <c r="C1769">
        <v>0</v>
      </c>
      <c r="D1769">
        <v>7002</v>
      </c>
      <c r="E1769">
        <v>98.765850782394395</v>
      </c>
    </row>
    <row r="1770" spans="1:5" x14ac:dyDescent="0.25">
      <c r="A1770" t="s">
        <v>5</v>
      </c>
      <c r="B1770">
        <v>0</v>
      </c>
      <c r="C1770">
        <v>0.18569440205891899</v>
      </c>
      <c r="D1770">
        <v>6960</v>
      </c>
      <c r="E1770">
        <v>112.179475307464</v>
      </c>
    </row>
    <row r="1771" spans="1:5" x14ac:dyDescent="0.25">
      <c r="A1771" t="s">
        <v>6</v>
      </c>
      <c r="B1771">
        <v>0</v>
      </c>
      <c r="C1771">
        <v>0.18011106928189499</v>
      </c>
      <c r="D1771">
        <v>7002</v>
      </c>
      <c r="E1771">
        <v>64.054118394851599</v>
      </c>
    </row>
    <row r="1772" spans="1:5" x14ac:dyDescent="0.25">
      <c r="A1772" t="s">
        <v>5</v>
      </c>
      <c r="B1772">
        <v>1</v>
      </c>
      <c r="C1772">
        <v>0.16494440337022101</v>
      </c>
      <c r="D1772">
        <v>6960</v>
      </c>
      <c r="E1772">
        <v>111.803592205047</v>
      </c>
    </row>
    <row r="1773" spans="1:5" x14ac:dyDescent="0.25">
      <c r="A1773" t="s">
        <v>6</v>
      </c>
      <c r="B1773">
        <v>1</v>
      </c>
      <c r="C1773">
        <v>0.15563884834448399</v>
      </c>
      <c r="D1773">
        <v>7002</v>
      </c>
      <c r="E1773">
        <v>63.887357473373399</v>
      </c>
    </row>
    <row r="1774" spans="1:5" x14ac:dyDescent="0.25">
      <c r="A1774" t="s">
        <v>5</v>
      </c>
      <c r="B1774">
        <v>2</v>
      </c>
      <c r="C1774">
        <v>0.14227773805459301</v>
      </c>
      <c r="D1774">
        <v>6960</v>
      </c>
      <c r="E1774">
        <v>112.116045475006</v>
      </c>
    </row>
    <row r="1775" spans="1:5" x14ac:dyDescent="0.25">
      <c r="A1775" t="s">
        <v>6</v>
      </c>
      <c r="B1775">
        <v>2</v>
      </c>
      <c r="C1775">
        <v>0.13361107011636</v>
      </c>
      <c r="D1775">
        <v>7002</v>
      </c>
      <c r="E1775">
        <v>63.870920896530102</v>
      </c>
    </row>
    <row r="1776" spans="1:5" x14ac:dyDescent="0.25">
      <c r="A1776" t="s">
        <v>5</v>
      </c>
      <c r="B1776">
        <v>3</v>
      </c>
      <c r="C1776">
        <v>0.121611071228981</v>
      </c>
      <c r="D1776">
        <v>6960</v>
      </c>
      <c r="E1776">
        <v>112.715299606323</v>
      </c>
    </row>
    <row r="1777" spans="1:5" x14ac:dyDescent="0.25">
      <c r="A1777" t="s">
        <v>6</v>
      </c>
      <c r="B1777">
        <v>3</v>
      </c>
      <c r="C1777">
        <v>0.11074995736281</v>
      </c>
      <c r="D1777">
        <v>7002</v>
      </c>
      <c r="E1777">
        <v>64.187677621841402</v>
      </c>
    </row>
    <row r="1778" spans="1:5" x14ac:dyDescent="0.25">
      <c r="A1778" t="s">
        <v>5</v>
      </c>
      <c r="B1778">
        <v>4</v>
      </c>
      <c r="C1778">
        <v>9.7916624347368794E-2</v>
      </c>
      <c r="D1778">
        <v>6960</v>
      </c>
      <c r="E1778">
        <v>112.309644699096</v>
      </c>
    </row>
    <row r="1779" spans="1:5" x14ac:dyDescent="0.25">
      <c r="A1779" t="s">
        <v>6</v>
      </c>
      <c r="B1779">
        <v>4</v>
      </c>
      <c r="C1779">
        <v>8.8527733683586102E-2</v>
      </c>
      <c r="D1779">
        <v>7002</v>
      </c>
      <c r="E1779">
        <v>63.954271078109699</v>
      </c>
    </row>
    <row r="1780" spans="1:5" x14ac:dyDescent="0.25">
      <c r="A1780" t="s">
        <v>5</v>
      </c>
      <c r="B1780">
        <v>5</v>
      </c>
      <c r="C1780">
        <v>8.0666622916857403E-2</v>
      </c>
      <c r="D1780">
        <v>6960</v>
      </c>
      <c r="E1780">
        <v>112.098794698715</v>
      </c>
    </row>
    <row r="1781" spans="1:5" x14ac:dyDescent="0.25">
      <c r="A1781" t="s">
        <v>6</v>
      </c>
      <c r="B1781">
        <v>5</v>
      </c>
      <c r="C1781">
        <v>6.7277733683586097E-2</v>
      </c>
      <c r="D1781">
        <v>7002</v>
      </c>
      <c r="E1781">
        <v>63.920724153518599</v>
      </c>
    </row>
    <row r="1782" spans="1:5" x14ac:dyDescent="0.25">
      <c r="A1782" t="s">
        <v>5</v>
      </c>
      <c r="B1782">
        <v>6</v>
      </c>
      <c r="C1782">
        <v>6.2472178737322401E-2</v>
      </c>
      <c r="D1782">
        <v>6960</v>
      </c>
      <c r="E1782">
        <v>112.036269187927</v>
      </c>
    </row>
    <row r="1783" spans="1:5" x14ac:dyDescent="0.25">
      <c r="A1783" t="s">
        <v>6</v>
      </c>
      <c r="B1783">
        <v>6</v>
      </c>
      <c r="C1783">
        <v>5.0194402933120698E-2</v>
      </c>
      <c r="D1783">
        <v>7002</v>
      </c>
      <c r="E1783">
        <v>63.721742153167703</v>
      </c>
    </row>
    <row r="1784" spans="1:5" x14ac:dyDescent="0.25">
      <c r="A1784" t="s">
        <v>5</v>
      </c>
      <c r="B1784">
        <v>8</v>
      </c>
      <c r="C1784">
        <v>3.3583298921585E-2</v>
      </c>
      <c r="D1784">
        <v>6960</v>
      </c>
      <c r="E1784">
        <v>113.045182704925</v>
      </c>
    </row>
    <row r="1785" spans="1:5" x14ac:dyDescent="0.25">
      <c r="A1785" t="s">
        <v>6</v>
      </c>
      <c r="B1785">
        <v>8</v>
      </c>
      <c r="C1785">
        <v>2.6777743697166401E-2</v>
      </c>
      <c r="D1785">
        <v>7002</v>
      </c>
      <c r="E1785">
        <v>63.805052518844597</v>
      </c>
    </row>
    <row r="1786" spans="1:5" x14ac:dyDescent="0.25">
      <c r="A1786" t="s">
        <v>5</v>
      </c>
      <c r="B1786">
        <v>9</v>
      </c>
      <c r="C1786">
        <v>2.2555528084437001E-2</v>
      </c>
      <c r="D1786">
        <v>6960</v>
      </c>
      <c r="E1786">
        <v>112.890423059463</v>
      </c>
    </row>
    <row r="1787" spans="1:5" x14ac:dyDescent="0.25">
      <c r="A1787" t="s">
        <v>6</v>
      </c>
      <c r="B1787">
        <v>9</v>
      </c>
      <c r="C1787">
        <v>1.51110863685607E-2</v>
      </c>
      <c r="D1787">
        <v>7002</v>
      </c>
      <c r="E1787">
        <v>63.719760656356797</v>
      </c>
    </row>
    <row r="1788" spans="1:5" x14ac:dyDescent="0.25">
      <c r="A1788" t="s">
        <v>5</v>
      </c>
      <c r="B1788">
        <v>10</v>
      </c>
      <c r="C1788">
        <v>1.4055539965629501E-2</v>
      </c>
      <c r="D1788">
        <v>6960</v>
      </c>
      <c r="E1788">
        <v>112.113993644714</v>
      </c>
    </row>
    <row r="1789" spans="1:5" x14ac:dyDescent="0.25">
      <c r="A1789" t="s">
        <v>6</v>
      </c>
      <c r="B1789">
        <v>10</v>
      </c>
      <c r="C1789">
        <v>7.8055413564046203E-3</v>
      </c>
      <c r="D1789">
        <v>7002</v>
      </c>
      <c r="E1789">
        <v>63.920709609985302</v>
      </c>
    </row>
    <row r="1790" spans="1:5" x14ac:dyDescent="0.25">
      <c r="A1790" t="s">
        <v>5</v>
      </c>
      <c r="B1790">
        <v>11</v>
      </c>
      <c r="C1790">
        <v>6.1111034949620502E-3</v>
      </c>
      <c r="D1790">
        <v>6960</v>
      </c>
      <c r="E1790">
        <v>112.98911190032899</v>
      </c>
    </row>
    <row r="1791" spans="1:5" x14ac:dyDescent="0.25">
      <c r="A1791" t="s">
        <v>6</v>
      </c>
      <c r="B1791">
        <v>11</v>
      </c>
      <c r="C1791">
        <v>5.7499889532725001E-3</v>
      </c>
      <c r="D1791">
        <v>7002</v>
      </c>
      <c r="E1791">
        <v>63.954911470413201</v>
      </c>
    </row>
    <row r="1792" spans="1:5" x14ac:dyDescent="0.25">
      <c r="A1792" t="s">
        <v>5</v>
      </c>
      <c r="B1792">
        <v>12</v>
      </c>
      <c r="C1792">
        <v>2.6805442571640001E-3</v>
      </c>
      <c r="D1792">
        <v>6960</v>
      </c>
      <c r="E1792">
        <v>128.46991419792101</v>
      </c>
    </row>
    <row r="1793" spans="1:5" x14ac:dyDescent="0.25">
      <c r="A1793" t="s">
        <v>6</v>
      </c>
      <c r="B1793">
        <v>12</v>
      </c>
      <c r="C1793">
        <v>2.1944338083267202E-3</v>
      </c>
      <c r="D1793">
        <v>7002</v>
      </c>
      <c r="E1793">
        <v>82.048974990844698</v>
      </c>
    </row>
    <row r="1794" spans="1:5" x14ac:dyDescent="0.25">
      <c r="A1794" t="s">
        <v>5</v>
      </c>
      <c r="B1794">
        <v>13</v>
      </c>
      <c r="C1794">
        <v>4.7222038110097199E-4</v>
      </c>
      <c r="D1794">
        <v>6960</v>
      </c>
      <c r="E1794">
        <v>128.167351484298</v>
      </c>
    </row>
    <row r="1795" spans="1:5" x14ac:dyDescent="0.25">
      <c r="A1795" t="s">
        <v>6</v>
      </c>
      <c r="B1795">
        <v>13</v>
      </c>
      <c r="C1795">
        <v>1.0694390535354601E-3</v>
      </c>
      <c r="D1795">
        <v>7002</v>
      </c>
      <c r="E1795">
        <v>82.277245521545396</v>
      </c>
    </row>
    <row r="1796" spans="1:5" x14ac:dyDescent="0.25">
      <c r="A1796" t="s">
        <v>5</v>
      </c>
      <c r="B1796">
        <v>14</v>
      </c>
      <c r="C1796">
        <v>3.7036895751953099E-4</v>
      </c>
      <c r="D1796">
        <v>6960</v>
      </c>
      <c r="E1796">
        <v>177.89142179489099</v>
      </c>
    </row>
    <row r="1797" spans="1:5" x14ac:dyDescent="0.25">
      <c r="A1797" t="s">
        <v>6</v>
      </c>
      <c r="B1797">
        <v>14</v>
      </c>
      <c r="C1797">
        <v>2.5925815105438201E-4</v>
      </c>
      <c r="D1797">
        <v>7002</v>
      </c>
      <c r="E1797">
        <v>99.193873643875094</v>
      </c>
    </row>
    <row r="1798" spans="1:5" x14ac:dyDescent="0.25">
      <c r="A1798" t="s">
        <v>5</v>
      </c>
      <c r="B1798">
        <v>15</v>
      </c>
      <c r="C1798">
        <v>1.20370189348856E-4</v>
      </c>
      <c r="D1798">
        <v>6960</v>
      </c>
      <c r="E1798">
        <v>169.564099788665</v>
      </c>
    </row>
    <row r="1799" spans="1:5" x14ac:dyDescent="0.25">
      <c r="A1799" t="s">
        <v>6</v>
      </c>
      <c r="B1799">
        <v>15</v>
      </c>
      <c r="C1799">
        <v>1.01851423581441E-4</v>
      </c>
      <c r="D1799">
        <v>7002</v>
      </c>
      <c r="E1799">
        <v>98.714806556701603</v>
      </c>
    </row>
    <row r="1800" spans="1:5" x14ac:dyDescent="0.25">
      <c r="A1800" t="s">
        <v>5</v>
      </c>
      <c r="B1800">
        <v>16</v>
      </c>
      <c r="C1800" s="1">
        <v>5.5555502573648997E-5</v>
      </c>
      <c r="D1800">
        <v>6960</v>
      </c>
      <c r="E1800">
        <v>167.84887599945</v>
      </c>
    </row>
    <row r="1801" spans="1:5" x14ac:dyDescent="0.25">
      <c r="A1801" t="s">
        <v>6</v>
      </c>
      <c r="B1801">
        <v>16</v>
      </c>
      <c r="C1801">
        <v>1.2036999066670701E-4</v>
      </c>
      <c r="D1801">
        <v>7002</v>
      </c>
      <c r="E1801">
        <v>99.442095756530705</v>
      </c>
    </row>
    <row r="1802" spans="1:5" x14ac:dyDescent="0.25">
      <c r="A1802" t="s">
        <v>5</v>
      </c>
      <c r="B1802">
        <v>17</v>
      </c>
      <c r="C1802">
        <v>0</v>
      </c>
      <c r="D1802">
        <v>6960</v>
      </c>
      <c r="E1802">
        <v>167.55476975440899</v>
      </c>
    </row>
    <row r="1803" spans="1:5" x14ac:dyDescent="0.25">
      <c r="A1803" t="s">
        <v>6</v>
      </c>
      <c r="B1803">
        <v>17</v>
      </c>
      <c r="C1803">
        <v>0</v>
      </c>
      <c r="D1803">
        <v>7002</v>
      </c>
      <c r="E1803">
        <v>98.940740346908498</v>
      </c>
    </row>
    <row r="1804" spans="1:5" x14ac:dyDescent="0.25">
      <c r="A1804" t="s">
        <v>5</v>
      </c>
      <c r="B1804">
        <v>0</v>
      </c>
      <c r="C1804">
        <v>0.18605551342169399</v>
      </c>
      <c r="D1804">
        <v>6960</v>
      </c>
      <c r="E1804">
        <v>112.984402894973</v>
      </c>
    </row>
    <row r="1805" spans="1:5" x14ac:dyDescent="0.25">
      <c r="A1805" t="s">
        <v>6</v>
      </c>
      <c r="B1805">
        <v>0</v>
      </c>
      <c r="C1805">
        <v>0.17947217941284099</v>
      </c>
      <c r="D1805">
        <v>7002</v>
      </c>
      <c r="E1805">
        <v>64.0375142097473</v>
      </c>
    </row>
    <row r="1806" spans="1:5" x14ac:dyDescent="0.25">
      <c r="A1806" t="s">
        <v>5</v>
      </c>
      <c r="B1806">
        <v>1</v>
      </c>
      <c r="C1806">
        <v>0.16674996038277901</v>
      </c>
      <c r="D1806">
        <v>6960</v>
      </c>
      <c r="E1806">
        <v>111.97254896163901</v>
      </c>
    </row>
    <row r="1807" spans="1:5" x14ac:dyDescent="0.25">
      <c r="A1807" t="s">
        <v>6</v>
      </c>
      <c r="B1807">
        <v>1</v>
      </c>
      <c r="C1807">
        <v>0.1576388468345</v>
      </c>
      <c r="D1807">
        <v>7002</v>
      </c>
      <c r="E1807">
        <v>63.904140472412102</v>
      </c>
    </row>
    <row r="1808" spans="1:5" x14ac:dyDescent="0.25">
      <c r="A1808" t="s">
        <v>5</v>
      </c>
      <c r="B1808">
        <v>2</v>
      </c>
      <c r="C1808">
        <v>0.141805514295895</v>
      </c>
      <c r="D1808">
        <v>6960</v>
      </c>
      <c r="E1808">
        <v>111.749583959579</v>
      </c>
    </row>
    <row r="1809" spans="1:5" x14ac:dyDescent="0.25">
      <c r="A1809" t="s">
        <v>6</v>
      </c>
      <c r="B1809">
        <v>2</v>
      </c>
      <c r="C1809">
        <v>0.13236106991767799</v>
      </c>
      <c r="D1809">
        <v>7002</v>
      </c>
      <c r="E1809">
        <v>63.855322122573803</v>
      </c>
    </row>
    <row r="1810" spans="1:5" x14ac:dyDescent="0.25">
      <c r="A1810" t="s">
        <v>5</v>
      </c>
      <c r="B1810">
        <v>3</v>
      </c>
      <c r="C1810">
        <v>0.122305514415105</v>
      </c>
      <c r="D1810">
        <v>6960</v>
      </c>
      <c r="E1810">
        <v>112.60471701621999</v>
      </c>
    </row>
    <row r="1811" spans="1:5" x14ac:dyDescent="0.25">
      <c r="A1811" t="s">
        <v>6</v>
      </c>
      <c r="B1811">
        <v>3</v>
      </c>
      <c r="C1811">
        <v>0.109333291053771</v>
      </c>
      <c r="D1811">
        <v>7002</v>
      </c>
      <c r="E1811">
        <v>64.019781112670898</v>
      </c>
    </row>
    <row r="1812" spans="1:5" x14ac:dyDescent="0.25">
      <c r="A1812" t="s">
        <v>5</v>
      </c>
      <c r="B1812">
        <v>4</v>
      </c>
      <c r="C1812">
        <v>0.10083329161008101</v>
      </c>
      <c r="D1812">
        <v>6960</v>
      </c>
      <c r="E1812">
        <v>112.08282279968201</v>
      </c>
    </row>
    <row r="1813" spans="1:5" x14ac:dyDescent="0.25">
      <c r="A1813" t="s">
        <v>6</v>
      </c>
      <c r="B1813">
        <v>4</v>
      </c>
      <c r="C1813">
        <v>8.7361066341400104E-2</v>
      </c>
      <c r="D1813">
        <v>7002</v>
      </c>
      <c r="E1813">
        <v>64.039613008499103</v>
      </c>
    </row>
    <row r="1814" spans="1:5" x14ac:dyDescent="0.25">
      <c r="A1814" t="s">
        <v>5</v>
      </c>
      <c r="B1814">
        <v>5</v>
      </c>
      <c r="C1814">
        <v>8.3249955773353507E-2</v>
      </c>
      <c r="D1814">
        <v>6960</v>
      </c>
      <c r="E1814">
        <v>111.71939158439601</v>
      </c>
    </row>
    <row r="1815" spans="1:5" x14ac:dyDescent="0.25">
      <c r="A1815" t="s">
        <v>6</v>
      </c>
      <c r="B1815">
        <v>5</v>
      </c>
      <c r="C1815">
        <v>6.6666624148686696E-2</v>
      </c>
      <c r="D1815">
        <v>7002</v>
      </c>
      <c r="E1815">
        <v>64.050464630126896</v>
      </c>
    </row>
    <row r="1816" spans="1:5" x14ac:dyDescent="0.25">
      <c r="A1816" t="s">
        <v>5</v>
      </c>
      <c r="B1816">
        <v>6</v>
      </c>
      <c r="C1816">
        <v>6.5888844331105506E-2</v>
      </c>
      <c r="D1816">
        <v>6960</v>
      </c>
      <c r="E1816">
        <v>111.975637197494</v>
      </c>
    </row>
    <row r="1817" spans="1:5" x14ac:dyDescent="0.25">
      <c r="A1817" t="s">
        <v>6</v>
      </c>
      <c r="B1817">
        <v>6</v>
      </c>
      <c r="C1817">
        <v>4.8499957521756398E-2</v>
      </c>
      <c r="D1817">
        <v>7002</v>
      </c>
      <c r="E1817">
        <v>64.588495016097994</v>
      </c>
    </row>
    <row r="1818" spans="1:5" x14ac:dyDescent="0.25">
      <c r="A1818" t="s">
        <v>5</v>
      </c>
      <c r="B1818">
        <v>8</v>
      </c>
      <c r="C1818">
        <v>3.4805518190065998E-2</v>
      </c>
      <c r="D1818">
        <v>6960</v>
      </c>
      <c r="E1818">
        <v>111.852394819259</v>
      </c>
    </row>
    <row r="1819" spans="1:5" x14ac:dyDescent="0.25">
      <c r="A1819" t="s">
        <v>6</v>
      </c>
      <c r="B1819">
        <v>8</v>
      </c>
      <c r="C1819">
        <v>2.3805525302886901E-2</v>
      </c>
      <c r="D1819">
        <v>7002</v>
      </c>
      <c r="E1819">
        <v>63.987544059753397</v>
      </c>
    </row>
    <row r="1820" spans="1:5" x14ac:dyDescent="0.25">
      <c r="A1820" t="s">
        <v>5</v>
      </c>
      <c r="B1820">
        <v>9</v>
      </c>
      <c r="C1820">
        <v>2.0861084063847801E-2</v>
      </c>
      <c r="D1820">
        <v>6960</v>
      </c>
      <c r="E1820">
        <v>112.611679077148</v>
      </c>
    </row>
    <row r="1821" spans="1:5" x14ac:dyDescent="0.25">
      <c r="A1821" t="s">
        <v>6</v>
      </c>
      <c r="B1821">
        <v>9</v>
      </c>
      <c r="C1821">
        <v>1.54166422287623E-2</v>
      </c>
      <c r="D1821">
        <v>7002</v>
      </c>
      <c r="E1821">
        <v>64.037472724914494</v>
      </c>
    </row>
    <row r="1822" spans="1:5" x14ac:dyDescent="0.25">
      <c r="A1822" t="s">
        <v>5</v>
      </c>
      <c r="B1822">
        <v>10</v>
      </c>
      <c r="C1822">
        <v>1.1499985257784499E-2</v>
      </c>
      <c r="D1822">
        <v>6960</v>
      </c>
      <c r="E1822">
        <v>112.352352142333</v>
      </c>
    </row>
    <row r="1823" spans="1:5" x14ac:dyDescent="0.25">
      <c r="A1823" t="s">
        <v>6</v>
      </c>
      <c r="B1823">
        <v>10</v>
      </c>
      <c r="C1823">
        <v>9.2499858140945405E-3</v>
      </c>
      <c r="D1823">
        <v>7002</v>
      </c>
      <c r="E1823">
        <v>63.870815277099602</v>
      </c>
    </row>
    <row r="1824" spans="1:5" x14ac:dyDescent="0.25">
      <c r="A1824" t="s">
        <v>5</v>
      </c>
      <c r="B1824">
        <v>11</v>
      </c>
      <c r="C1824">
        <v>6.4166559775670302E-3</v>
      </c>
      <c r="D1824">
        <v>6960</v>
      </c>
      <c r="E1824">
        <v>112.717695951461</v>
      </c>
    </row>
    <row r="1825" spans="1:5" x14ac:dyDescent="0.25">
      <c r="A1825" t="s">
        <v>6</v>
      </c>
      <c r="B1825">
        <v>11</v>
      </c>
      <c r="C1825">
        <v>5.5833232402801502E-3</v>
      </c>
      <c r="D1825">
        <v>7002</v>
      </c>
      <c r="E1825">
        <v>64.305048942565904</v>
      </c>
    </row>
    <row r="1826" spans="1:5" x14ac:dyDescent="0.25">
      <c r="A1826" t="s">
        <v>5</v>
      </c>
      <c r="B1826">
        <v>12</v>
      </c>
      <c r="C1826">
        <v>1.9027696053187E-3</v>
      </c>
      <c r="D1826">
        <v>6960</v>
      </c>
      <c r="E1826">
        <v>129.209437847137</v>
      </c>
    </row>
    <row r="1827" spans="1:5" x14ac:dyDescent="0.25">
      <c r="A1827" t="s">
        <v>6</v>
      </c>
      <c r="B1827">
        <v>12</v>
      </c>
      <c r="C1827">
        <v>2.2638777891794801E-3</v>
      </c>
      <c r="D1827">
        <v>7002</v>
      </c>
      <c r="E1827">
        <v>82.603280067443805</v>
      </c>
    </row>
    <row r="1828" spans="1:5" x14ac:dyDescent="0.25">
      <c r="A1828" t="s">
        <v>5</v>
      </c>
      <c r="B1828">
        <v>13</v>
      </c>
      <c r="C1828">
        <v>1.2222176790237401E-3</v>
      </c>
      <c r="D1828">
        <v>6960</v>
      </c>
      <c r="E1828">
        <v>128.844446897506</v>
      </c>
    </row>
    <row r="1829" spans="1:5" x14ac:dyDescent="0.25">
      <c r="A1829" t="s">
        <v>6</v>
      </c>
      <c r="B1829">
        <v>13</v>
      </c>
      <c r="C1829">
        <v>1.8472135066986001E-3</v>
      </c>
      <c r="D1829">
        <v>7002</v>
      </c>
      <c r="E1829">
        <v>82.522067070007296</v>
      </c>
    </row>
    <row r="1830" spans="1:5" x14ac:dyDescent="0.25">
      <c r="A1830" t="s">
        <v>5</v>
      </c>
      <c r="B1830">
        <v>14</v>
      </c>
      <c r="C1830">
        <v>4.0740609169006301E-4</v>
      </c>
      <c r="D1830">
        <v>6960</v>
      </c>
      <c r="E1830">
        <v>176.96548867225599</v>
      </c>
    </row>
    <row r="1831" spans="1:5" x14ac:dyDescent="0.25">
      <c r="A1831" t="s">
        <v>6</v>
      </c>
      <c r="B1831">
        <v>14</v>
      </c>
      <c r="C1831">
        <v>2.7777651945749902E-4</v>
      </c>
      <c r="D1831">
        <v>7002</v>
      </c>
      <c r="E1831">
        <v>99.352852344512897</v>
      </c>
    </row>
    <row r="1832" spans="1:5" x14ac:dyDescent="0.25">
      <c r="A1832" t="s">
        <v>5</v>
      </c>
      <c r="B1832">
        <v>15</v>
      </c>
      <c r="C1832" s="1">
        <v>7.4073672294616699E-5</v>
      </c>
      <c r="D1832">
        <v>6960</v>
      </c>
      <c r="E1832">
        <v>169.66018033027601</v>
      </c>
    </row>
    <row r="1833" spans="1:5" x14ac:dyDescent="0.25">
      <c r="A1833" t="s">
        <v>6</v>
      </c>
      <c r="B1833">
        <v>15</v>
      </c>
      <c r="C1833">
        <v>2.22221612930297E-4</v>
      </c>
      <c r="D1833">
        <v>7002</v>
      </c>
      <c r="E1833">
        <v>98.531280517578097</v>
      </c>
    </row>
    <row r="1834" spans="1:5" x14ac:dyDescent="0.25">
      <c r="A1834" t="s">
        <v>5</v>
      </c>
      <c r="B1834">
        <v>16</v>
      </c>
      <c r="C1834">
        <v>0</v>
      </c>
      <c r="D1834">
        <v>6960</v>
      </c>
      <c r="E1834">
        <v>166.15965604782099</v>
      </c>
    </row>
    <row r="1835" spans="1:5" x14ac:dyDescent="0.25">
      <c r="A1835" t="s">
        <v>6</v>
      </c>
      <c r="B1835">
        <v>16</v>
      </c>
      <c r="C1835" s="1">
        <v>3.7036736806233697E-5</v>
      </c>
      <c r="D1835">
        <v>7002</v>
      </c>
      <c r="E1835">
        <v>99.342977285385103</v>
      </c>
    </row>
    <row r="1836" spans="1:5" x14ac:dyDescent="0.25">
      <c r="A1836" t="s">
        <v>5</v>
      </c>
      <c r="B1836">
        <v>17</v>
      </c>
      <c r="C1836" s="1">
        <v>3.7036736806233697E-5</v>
      </c>
      <c r="D1836">
        <v>6960</v>
      </c>
      <c r="E1836">
        <v>167.754648447036</v>
      </c>
    </row>
    <row r="1837" spans="1:5" x14ac:dyDescent="0.25">
      <c r="A1837" t="s">
        <v>6</v>
      </c>
      <c r="B1837">
        <v>17</v>
      </c>
      <c r="C1837">
        <v>0</v>
      </c>
      <c r="D1837">
        <v>7002</v>
      </c>
      <c r="E1837">
        <v>98.531557321548405</v>
      </c>
    </row>
    <row r="1838" spans="1:5" x14ac:dyDescent="0.25">
      <c r="A1838" t="s">
        <v>5</v>
      </c>
      <c r="B1838">
        <v>0</v>
      </c>
      <c r="C1838">
        <v>0.188277734915415</v>
      </c>
      <c r="D1838">
        <v>6960</v>
      </c>
      <c r="E1838">
        <v>111.570764541625</v>
      </c>
    </row>
    <row r="1839" spans="1:5" x14ac:dyDescent="0.25">
      <c r="A1839" t="s">
        <v>6</v>
      </c>
      <c r="B1839">
        <v>0</v>
      </c>
      <c r="C1839">
        <v>0.18069440285364699</v>
      </c>
      <c r="D1839">
        <v>7002</v>
      </c>
      <c r="E1839">
        <v>63.805176019668501</v>
      </c>
    </row>
    <row r="1840" spans="1:5" x14ac:dyDescent="0.25">
      <c r="A1840" t="s">
        <v>5</v>
      </c>
      <c r="B1840">
        <v>1</v>
      </c>
      <c r="C1840">
        <v>0.16219440261522899</v>
      </c>
      <c r="D1840">
        <v>6960</v>
      </c>
      <c r="E1840">
        <v>112.072985172271</v>
      </c>
    </row>
    <row r="1841" spans="1:5" x14ac:dyDescent="0.25">
      <c r="A1841" t="s">
        <v>6</v>
      </c>
      <c r="B1841">
        <v>1</v>
      </c>
      <c r="C1841">
        <v>0.15758329113324401</v>
      </c>
      <c r="D1841">
        <v>7002</v>
      </c>
      <c r="E1841">
        <v>63.868689298629697</v>
      </c>
    </row>
    <row r="1842" spans="1:5" x14ac:dyDescent="0.25">
      <c r="A1842" t="s">
        <v>5</v>
      </c>
      <c r="B1842">
        <v>2</v>
      </c>
      <c r="C1842">
        <v>0.13972218036651601</v>
      </c>
      <c r="D1842">
        <v>6960</v>
      </c>
      <c r="E1842">
        <v>112.618845939636</v>
      </c>
    </row>
    <row r="1843" spans="1:5" x14ac:dyDescent="0.25">
      <c r="A1843" t="s">
        <v>6</v>
      </c>
      <c r="B1843">
        <v>2</v>
      </c>
      <c r="C1843">
        <v>0.133861069877942</v>
      </c>
      <c r="D1843">
        <v>7002</v>
      </c>
      <c r="E1843">
        <v>63.820576667785602</v>
      </c>
    </row>
    <row r="1844" spans="1:5" x14ac:dyDescent="0.25">
      <c r="A1844" t="s">
        <v>5</v>
      </c>
      <c r="B1844">
        <v>3</v>
      </c>
      <c r="C1844">
        <v>0.11891662577787999</v>
      </c>
      <c r="D1844">
        <v>6960</v>
      </c>
      <c r="E1844">
        <v>111.81074976921001</v>
      </c>
    </row>
    <row r="1845" spans="1:5" x14ac:dyDescent="0.25">
      <c r="A1845" t="s">
        <v>6</v>
      </c>
      <c r="B1845">
        <v>3</v>
      </c>
      <c r="C1845">
        <v>0.108638845086097</v>
      </c>
      <c r="D1845">
        <v>7002</v>
      </c>
      <c r="E1845">
        <v>63.671982526779097</v>
      </c>
    </row>
    <row r="1846" spans="1:5" x14ac:dyDescent="0.25">
      <c r="A1846" t="s">
        <v>5</v>
      </c>
      <c r="B1846">
        <v>4</v>
      </c>
      <c r="C1846">
        <v>9.8361069560050904E-2</v>
      </c>
      <c r="D1846">
        <v>6960</v>
      </c>
      <c r="E1846">
        <v>111.981964111328</v>
      </c>
    </row>
    <row r="1847" spans="1:5" x14ac:dyDescent="0.25">
      <c r="A1847" t="s">
        <v>6</v>
      </c>
      <c r="B1847">
        <v>4</v>
      </c>
      <c r="C1847">
        <v>8.7111067374547296E-2</v>
      </c>
      <c r="D1847">
        <v>7002</v>
      </c>
      <c r="E1847">
        <v>63.770715475082397</v>
      </c>
    </row>
    <row r="1848" spans="1:5" x14ac:dyDescent="0.25">
      <c r="A1848" t="s">
        <v>5</v>
      </c>
      <c r="B1848">
        <v>5</v>
      </c>
      <c r="C1848">
        <v>8.1888843774795494E-2</v>
      </c>
      <c r="D1848">
        <v>6960</v>
      </c>
      <c r="E1848">
        <v>112.042830705642</v>
      </c>
    </row>
    <row r="1849" spans="1:5" x14ac:dyDescent="0.25">
      <c r="A1849" t="s">
        <v>6</v>
      </c>
      <c r="B1849">
        <v>5</v>
      </c>
      <c r="C1849">
        <v>6.6138844887415504E-2</v>
      </c>
      <c r="D1849">
        <v>7002</v>
      </c>
      <c r="E1849">
        <v>63.871706724166799</v>
      </c>
    </row>
    <row r="1850" spans="1:5" x14ac:dyDescent="0.25">
      <c r="A1850" t="s">
        <v>5</v>
      </c>
      <c r="B1850">
        <v>6</v>
      </c>
      <c r="C1850">
        <v>6.5749956369399995E-2</v>
      </c>
      <c r="D1850">
        <v>6960</v>
      </c>
      <c r="E1850">
        <v>111.701296567916</v>
      </c>
    </row>
    <row r="1851" spans="1:5" x14ac:dyDescent="0.25">
      <c r="A1851" t="s">
        <v>6</v>
      </c>
      <c r="B1851">
        <v>6</v>
      </c>
      <c r="C1851">
        <v>4.7472181916236797E-2</v>
      </c>
      <c r="D1851">
        <v>7002</v>
      </c>
      <c r="E1851">
        <v>63.788565158843902</v>
      </c>
    </row>
    <row r="1852" spans="1:5" x14ac:dyDescent="0.25">
      <c r="A1852" t="s">
        <v>5</v>
      </c>
      <c r="B1852">
        <v>8</v>
      </c>
      <c r="C1852">
        <v>3.4583298762639297E-2</v>
      </c>
      <c r="D1852">
        <v>6960</v>
      </c>
      <c r="E1852">
        <v>111.664060592651</v>
      </c>
    </row>
    <row r="1853" spans="1:5" x14ac:dyDescent="0.25">
      <c r="A1853" t="s">
        <v>6</v>
      </c>
      <c r="B1853">
        <v>8</v>
      </c>
      <c r="C1853">
        <v>2.6638855934142999E-2</v>
      </c>
      <c r="D1853">
        <v>7002</v>
      </c>
      <c r="E1853">
        <v>64.237464904785099</v>
      </c>
    </row>
    <row r="1854" spans="1:5" x14ac:dyDescent="0.25">
      <c r="A1854" t="s">
        <v>5</v>
      </c>
      <c r="B1854">
        <v>9</v>
      </c>
      <c r="C1854">
        <v>2.5055526693662001E-2</v>
      </c>
      <c r="D1854">
        <v>6960</v>
      </c>
      <c r="E1854">
        <v>112.50169181823701</v>
      </c>
    </row>
    <row r="1855" spans="1:5" x14ac:dyDescent="0.25">
      <c r="A1855" t="s">
        <v>6</v>
      </c>
      <c r="B1855">
        <v>9</v>
      </c>
      <c r="C1855">
        <v>1.6138866543769802E-2</v>
      </c>
      <c r="D1855">
        <v>7002</v>
      </c>
      <c r="E1855">
        <v>63.821891069412203</v>
      </c>
    </row>
    <row r="1856" spans="1:5" x14ac:dyDescent="0.25">
      <c r="A1856" t="s">
        <v>5</v>
      </c>
      <c r="B1856">
        <v>10</v>
      </c>
      <c r="C1856">
        <v>1.23333172003428E-2</v>
      </c>
      <c r="D1856">
        <v>6960</v>
      </c>
      <c r="E1856">
        <v>112.953412532806</v>
      </c>
    </row>
    <row r="1857" spans="1:5" x14ac:dyDescent="0.25">
      <c r="A1857" t="s">
        <v>6</v>
      </c>
      <c r="B1857">
        <v>10</v>
      </c>
      <c r="C1857">
        <v>9.4722052415211998E-3</v>
      </c>
      <c r="D1857">
        <v>7002</v>
      </c>
      <c r="E1857">
        <v>64.086147785186697</v>
      </c>
    </row>
    <row r="1858" spans="1:5" x14ac:dyDescent="0.25">
      <c r="A1858" t="s">
        <v>5</v>
      </c>
      <c r="B1858">
        <v>11</v>
      </c>
      <c r="C1858">
        <v>5.9444353977839096E-3</v>
      </c>
      <c r="D1858">
        <v>6960</v>
      </c>
      <c r="E1858">
        <v>112.328778505325</v>
      </c>
    </row>
    <row r="1859" spans="1:5" x14ac:dyDescent="0.25">
      <c r="A1859" t="s">
        <v>6</v>
      </c>
      <c r="B1859">
        <v>11</v>
      </c>
      <c r="C1859">
        <v>7.5555429855982403E-3</v>
      </c>
      <c r="D1859">
        <v>7002</v>
      </c>
      <c r="E1859">
        <v>64.0125603675842</v>
      </c>
    </row>
    <row r="1860" spans="1:5" x14ac:dyDescent="0.25">
      <c r="A1860" t="s">
        <v>5</v>
      </c>
      <c r="B1860">
        <v>12</v>
      </c>
      <c r="C1860">
        <v>1.70832574367523E-3</v>
      </c>
      <c r="D1860">
        <v>6960</v>
      </c>
      <c r="E1860">
        <v>128.64649367332399</v>
      </c>
    </row>
    <row r="1861" spans="1:5" x14ac:dyDescent="0.25">
      <c r="A1861" t="s">
        <v>6</v>
      </c>
      <c r="B1861">
        <v>12</v>
      </c>
      <c r="C1861">
        <v>2.6110992829004899E-3</v>
      </c>
      <c r="D1861">
        <v>7002</v>
      </c>
      <c r="E1861">
        <v>82.668159723281804</v>
      </c>
    </row>
    <row r="1862" spans="1:5" x14ac:dyDescent="0.25">
      <c r="A1862" t="s">
        <v>5</v>
      </c>
      <c r="B1862">
        <v>13</v>
      </c>
      <c r="C1862">
        <v>7.4999690055847096E-4</v>
      </c>
      <c r="D1862">
        <v>6960</v>
      </c>
      <c r="E1862">
        <v>128.69424676895099</v>
      </c>
    </row>
    <row r="1863" spans="1:5" x14ac:dyDescent="0.25">
      <c r="A1863" t="s">
        <v>6</v>
      </c>
      <c r="B1863">
        <v>13</v>
      </c>
      <c r="C1863">
        <v>8.1943949063618905E-4</v>
      </c>
      <c r="D1863">
        <v>7002</v>
      </c>
      <c r="E1863">
        <v>82.601196765899601</v>
      </c>
    </row>
    <row r="1864" spans="1:5" x14ac:dyDescent="0.25">
      <c r="A1864" t="s">
        <v>5</v>
      </c>
      <c r="B1864">
        <v>14</v>
      </c>
      <c r="C1864">
        <v>4.35184240341186E-4</v>
      </c>
      <c r="D1864">
        <v>6960</v>
      </c>
      <c r="E1864">
        <v>173.723322153091</v>
      </c>
    </row>
    <row r="1865" spans="1:5" x14ac:dyDescent="0.25">
      <c r="A1865" t="s">
        <v>6</v>
      </c>
      <c r="B1865">
        <v>14</v>
      </c>
      <c r="C1865">
        <v>6.94441596666971E-4</v>
      </c>
      <c r="D1865">
        <v>7002</v>
      </c>
      <c r="E1865">
        <v>99.243708610534597</v>
      </c>
    </row>
    <row r="1866" spans="1:5" x14ac:dyDescent="0.25">
      <c r="A1866" t="s">
        <v>5</v>
      </c>
      <c r="B1866">
        <v>15</v>
      </c>
      <c r="C1866">
        <v>1.5740672747294101E-4</v>
      </c>
      <c r="D1866">
        <v>6960</v>
      </c>
      <c r="E1866">
        <v>176.66949701309201</v>
      </c>
    </row>
    <row r="1867" spans="1:5" x14ac:dyDescent="0.25">
      <c r="A1867" t="s">
        <v>6</v>
      </c>
      <c r="B1867">
        <v>15</v>
      </c>
      <c r="C1867">
        <v>3.2407303651173902E-4</v>
      </c>
      <c r="D1867">
        <v>7002</v>
      </c>
      <c r="E1867">
        <v>99.414179086685095</v>
      </c>
    </row>
    <row r="1868" spans="1:5" x14ac:dyDescent="0.25">
      <c r="A1868" t="s">
        <v>5</v>
      </c>
      <c r="B1868">
        <v>16</v>
      </c>
      <c r="C1868" s="1">
        <v>7.4073870976765896E-5</v>
      </c>
      <c r="D1868">
        <v>6960</v>
      </c>
      <c r="E1868">
        <v>166.21826505660999</v>
      </c>
    </row>
    <row r="1869" spans="1:5" x14ac:dyDescent="0.25">
      <c r="A1869" t="s">
        <v>6</v>
      </c>
      <c r="B1869">
        <v>16</v>
      </c>
      <c r="C1869" s="1">
        <v>8.3332856496175098E-5</v>
      </c>
      <c r="D1869">
        <v>7002</v>
      </c>
      <c r="E1869">
        <v>98.257120132446204</v>
      </c>
    </row>
    <row r="1870" spans="1:5" x14ac:dyDescent="0.25">
      <c r="A1870" t="s">
        <v>5</v>
      </c>
      <c r="B1870">
        <v>17</v>
      </c>
      <c r="C1870">
        <v>0</v>
      </c>
      <c r="D1870">
        <v>6960</v>
      </c>
      <c r="E1870">
        <v>167.05908226966801</v>
      </c>
    </row>
    <row r="1871" spans="1:5" x14ac:dyDescent="0.25">
      <c r="A1871" t="s">
        <v>6</v>
      </c>
      <c r="B1871">
        <v>17</v>
      </c>
      <c r="C1871" s="1">
        <v>1.8518368403116801E-5</v>
      </c>
      <c r="D1871">
        <v>7002</v>
      </c>
      <c r="E1871">
        <v>110.91773271560599</v>
      </c>
    </row>
    <row r="1872" spans="1:5" x14ac:dyDescent="0.25">
      <c r="A1872" t="s">
        <v>5</v>
      </c>
      <c r="B1872">
        <v>0</v>
      </c>
      <c r="C1872">
        <v>0.18747218012809699</v>
      </c>
      <c r="D1872">
        <v>6960</v>
      </c>
      <c r="E1872">
        <v>112.07124829292199</v>
      </c>
    </row>
    <row r="1873" spans="1:5" x14ac:dyDescent="0.25">
      <c r="A1873" t="s">
        <v>6</v>
      </c>
      <c r="B1873">
        <v>0</v>
      </c>
      <c r="C1873">
        <v>0.17897218108177099</v>
      </c>
      <c r="D1873">
        <v>7002</v>
      </c>
      <c r="E1873">
        <v>65.806161403656006</v>
      </c>
    </row>
    <row r="1874" spans="1:5" x14ac:dyDescent="0.25">
      <c r="A1874" t="s">
        <v>5</v>
      </c>
      <c r="B1874">
        <v>1</v>
      </c>
      <c r="C1874">
        <v>0.16977773567040699</v>
      </c>
      <c r="D1874">
        <v>6960</v>
      </c>
      <c r="E1874">
        <v>111.85300445556599</v>
      </c>
    </row>
    <row r="1875" spans="1:5" x14ac:dyDescent="0.25">
      <c r="A1875" t="s">
        <v>6</v>
      </c>
      <c r="B1875">
        <v>1</v>
      </c>
      <c r="C1875">
        <v>0.15788884798685701</v>
      </c>
      <c r="D1875">
        <v>7002</v>
      </c>
      <c r="E1875">
        <v>64.0383393764495</v>
      </c>
    </row>
    <row r="1876" spans="1:5" x14ac:dyDescent="0.25">
      <c r="A1876" t="s">
        <v>5</v>
      </c>
      <c r="B1876">
        <v>2</v>
      </c>
      <c r="C1876">
        <v>0.14116662502288799</v>
      </c>
      <c r="D1876">
        <v>6960</v>
      </c>
      <c r="E1876">
        <v>112.37838101387</v>
      </c>
    </row>
    <row r="1877" spans="1:5" x14ac:dyDescent="0.25">
      <c r="A1877" t="s">
        <v>6</v>
      </c>
      <c r="B1877">
        <v>2</v>
      </c>
      <c r="C1877">
        <v>0.13286107023557001</v>
      </c>
      <c r="D1877">
        <v>7002</v>
      </c>
      <c r="E1877">
        <v>63.938580989837597</v>
      </c>
    </row>
    <row r="1878" spans="1:5" x14ac:dyDescent="0.25">
      <c r="A1878" t="s">
        <v>5</v>
      </c>
      <c r="B1878">
        <v>3</v>
      </c>
      <c r="C1878">
        <v>0.11941662689050001</v>
      </c>
      <c r="D1878">
        <v>6960</v>
      </c>
      <c r="E1878">
        <v>112.53669404983501</v>
      </c>
    </row>
    <row r="1879" spans="1:5" x14ac:dyDescent="0.25">
      <c r="A1879" t="s">
        <v>6</v>
      </c>
      <c r="B1879">
        <v>3</v>
      </c>
      <c r="C1879">
        <v>0.110083291331926</v>
      </c>
      <c r="D1879">
        <v>7002</v>
      </c>
      <c r="E1879">
        <v>63.865838527679401</v>
      </c>
    </row>
    <row r="1880" spans="1:5" x14ac:dyDescent="0.25">
      <c r="A1880" t="s">
        <v>5</v>
      </c>
      <c r="B1880">
        <v>4</v>
      </c>
      <c r="C1880">
        <v>0.100472179849942</v>
      </c>
      <c r="D1880">
        <v>6960</v>
      </c>
      <c r="E1880">
        <v>111.46987152099599</v>
      </c>
    </row>
    <row r="1881" spans="1:5" x14ac:dyDescent="0.25">
      <c r="A1881" t="s">
        <v>6</v>
      </c>
      <c r="B1881">
        <v>4</v>
      </c>
      <c r="C1881">
        <v>8.7361066738764398E-2</v>
      </c>
      <c r="D1881">
        <v>7002</v>
      </c>
      <c r="E1881">
        <v>63.664637804031301</v>
      </c>
    </row>
    <row r="1882" spans="1:5" x14ac:dyDescent="0.25">
      <c r="A1882" t="s">
        <v>5</v>
      </c>
      <c r="B1882">
        <v>5</v>
      </c>
      <c r="C1882">
        <v>7.9416624307632397E-2</v>
      </c>
      <c r="D1882">
        <v>6960</v>
      </c>
      <c r="E1882">
        <v>111.76806640625</v>
      </c>
    </row>
    <row r="1883" spans="1:5" x14ac:dyDescent="0.25">
      <c r="A1883" t="s">
        <v>6</v>
      </c>
      <c r="B1883">
        <v>5</v>
      </c>
      <c r="C1883">
        <v>6.3611067533492993E-2</v>
      </c>
      <c r="D1883">
        <v>7002</v>
      </c>
      <c r="E1883">
        <v>63.754076242446899</v>
      </c>
    </row>
    <row r="1884" spans="1:5" x14ac:dyDescent="0.25">
      <c r="A1884" t="s">
        <v>5</v>
      </c>
      <c r="B1884">
        <v>6</v>
      </c>
      <c r="C1884">
        <v>6.2444401582082101E-2</v>
      </c>
      <c r="D1884">
        <v>6960</v>
      </c>
      <c r="E1884">
        <v>112.596187353134</v>
      </c>
    </row>
    <row r="1885" spans="1:5" x14ac:dyDescent="0.25">
      <c r="A1885" t="s">
        <v>6</v>
      </c>
      <c r="B1885">
        <v>6</v>
      </c>
      <c r="C1885">
        <v>4.7805515329043001E-2</v>
      </c>
      <c r="D1885">
        <v>7002</v>
      </c>
      <c r="E1885">
        <v>63.954199552535997</v>
      </c>
    </row>
    <row r="1886" spans="1:5" x14ac:dyDescent="0.25">
      <c r="A1886" t="s">
        <v>5</v>
      </c>
      <c r="B1886">
        <v>8</v>
      </c>
      <c r="C1886">
        <v>3.46666314204533E-2</v>
      </c>
      <c r="D1886">
        <v>6960</v>
      </c>
      <c r="E1886">
        <v>111.917029857635</v>
      </c>
    </row>
    <row r="1887" spans="1:5" x14ac:dyDescent="0.25">
      <c r="A1887" t="s">
        <v>6</v>
      </c>
      <c r="B1887">
        <v>8</v>
      </c>
      <c r="C1887">
        <v>2.46388564507166E-2</v>
      </c>
      <c r="D1887">
        <v>7002</v>
      </c>
      <c r="E1887">
        <v>63.707846164703298</v>
      </c>
    </row>
    <row r="1888" spans="1:5" x14ac:dyDescent="0.25">
      <c r="A1888" t="s">
        <v>5</v>
      </c>
      <c r="B1888">
        <v>9</v>
      </c>
      <c r="C1888">
        <v>2.4555529157320601E-2</v>
      </c>
      <c r="D1888">
        <v>6960</v>
      </c>
      <c r="E1888">
        <v>111.683398723602</v>
      </c>
    </row>
    <row r="1889" spans="1:5" x14ac:dyDescent="0.25">
      <c r="A1889" t="s">
        <v>6</v>
      </c>
      <c r="B1889">
        <v>9</v>
      </c>
      <c r="C1889">
        <v>1.6999974052111299E-2</v>
      </c>
      <c r="D1889">
        <v>7002</v>
      </c>
      <c r="E1889">
        <v>63.704196214675903</v>
      </c>
    </row>
    <row r="1890" spans="1:5" x14ac:dyDescent="0.25">
      <c r="A1890" t="s">
        <v>5</v>
      </c>
      <c r="B1890">
        <v>10</v>
      </c>
      <c r="C1890">
        <v>1.1249985893567399E-2</v>
      </c>
      <c r="D1890">
        <v>6960</v>
      </c>
      <c r="E1890">
        <v>112.32932496070801</v>
      </c>
    </row>
    <row r="1891" spans="1:5" x14ac:dyDescent="0.25">
      <c r="A1891" t="s">
        <v>6</v>
      </c>
      <c r="B1891">
        <v>10</v>
      </c>
      <c r="C1891">
        <v>1.1249981125195801E-2</v>
      </c>
      <c r="D1891">
        <v>7002</v>
      </c>
      <c r="E1891">
        <v>63.9218430519104</v>
      </c>
    </row>
    <row r="1892" spans="1:5" x14ac:dyDescent="0.25">
      <c r="A1892" t="s">
        <v>5</v>
      </c>
      <c r="B1892">
        <v>11</v>
      </c>
      <c r="C1892">
        <v>6.5555473168690996E-3</v>
      </c>
      <c r="D1892">
        <v>6960</v>
      </c>
      <c r="E1892">
        <v>112.2417075634</v>
      </c>
    </row>
    <row r="1893" spans="1:5" x14ac:dyDescent="0.25">
      <c r="A1893" t="s">
        <v>6</v>
      </c>
      <c r="B1893">
        <v>11</v>
      </c>
      <c r="C1893">
        <v>6.6388769944508803E-3</v>
      </c>
      <c r="D1893">
        <v>7002</v>
      </c>
      <c r="E1893">
        <v>63.990828990936201</v>
      </c>
    </row>
    <row r="1894" spans="1:5" x14ac:dyDescent="0.25">
      <c r="A1894" t="s">
        <v>5</v>
      </c>
      <c r="B1894">
        <v>12</v>
      </c>
      <c r="C1894">
        <v>2.5138787428537999E-3</v>
      </c>
      <c r="D1894">
        <v>6960</v>
      </c>
      <c r="E1894">
        <v>128.567305326461</v>
      </c>
    </row>
    <row r="1895" spans="1:5" x14ac:dyDescent="0.25">
      <c r="A1895" t="s">
        <v>6</v>
      </c>
      <c r="B1895">
        <v>12</v>
      </c>
      <c r="C1895">
        <v>2.2916555404662998E-3</v>
      </c>
      <c r="D1895">
        <v>7002</v>
      </c>
      <c r="E1895">
        <v>82.136712551116901</v>
      </c>
    </row>
    <row r="1896" spans="1:5" x14ac:dyDescent="0.25">
      <c r="A1896" t="s">
        <v>5</v>
      </c>
      <c r="B1896">
        <v>13</v>
      </c>
      <c r="C1896">
        <v>8.3333015441894504E-4</v>
      </c>
      <c r="D1896">
        <v>6960</v>
      </c>
      <c r="E1896">
        <v>128.44847869873001</v>
      </c>
    </row>
    <row r="1897" spans="1:5" x14ac:dyDescent="0.25">
      <c r="A1897" t="s">
        <v>6</v>
      </c>
      <c r="B1897">
        <v>13</v>
      </c>
      <c r="C1897">
        <v>9.7221652666727699E-4</v>
      </c>
      <c r="D1897">
        <v>7002</v>
      </c>
      <c r="E1897">
        <v>82.256493330001803</v>
      </c>
    </row>
    <row r="1898" spans="1:5" x14ac:dyDescent="0.25">
      <c r="A1898" t="s">
        <v>5</v>
      </c>
      <c r="B1898">
        <v>14</v>
      </c>
      <c r="C1898">
        <v>2.03702847162882E-4</v>
      </c>
      <c r="D1898">
        <v>6960</v>
      </c>
      <c r="E1898">
        <v>180.76364207267699</v>
      </c>
    </row>
    <row r="1899" spans="1:5" x14ac:dyDescent="0.25">
      <c r="A1899" t="s">
        <v>6</v>
      </c>
      <c r="B1899">
        <v>14</v>
      </c>
      <c r="C1899">
        <v>3.79627744356791E-4</v>
      </c>
      <c r="D1899">
        <v>7002</v>
      </c>
      <c r="E1899">
        <v>98.661177396774207</v>
      </c>
    </row>
    <row r="1900" spans="1:5" x14ac:dyDescent="0.25">
      <c r="A1900" t="s">
        <v>5</v>
      </c>
      <c r="B1900">
        <v>15</v>
      </c>
      <c r="C1900" s="1">
        <v>3.7036736806233697E-5</v>
      </c>
      <c r="D1900">
        <v>6960</v>
      </c>
      <c r="E1900">
        <v>170.23822474479601</v>
      </c>
    </row>
    <row r="1901" spans="1:5" x14ac:dyDescent="0.25">
      <c r="A1901" t="s">
        <v>6</v>
      </c>
      <c r="B1901">
        <v>15</v>
      </c>
      <c r="C1901" s="1">
        <v>9.2592040697733497E-5</v>
      </c>
      <c r="D1901">
        <v>7002</v>
      </c>
      <c r="E1901">
        <v>98.830502748489295</v>
      </c>
    </row>
    <row r="1902" spans="1:5" x14ac:dyDescent="0.25">
      <c r="A1902" t="s">
        <v>5</v>
      </c>
      <c r="B1902">
        <v>16</v>
      </c>
      <c r="C1902" s="1">
        <v>3.7036736806233697E-5</v>
      </c>
      <c r="D1902">
        <v>6960</v>
      </c>
      <c r="E1902">
        <v>166.28414988517699</v>
      </c>
    </row>
    <row r="1903" spans="1:5" x14ac:dyDescent="0.25">
      <c r="A1903" t="s">
        <v>6</v>
      </c>
      <c r="B1903">
        <v>16</v>
      </c>
      <c r="C1903" s="1">
        <v>1.8518368403116801E-5</v>
      </c>
      <c r="D1903">
        <v>7002</v>
      </c>
      <c r="E1903">
        <v>98.652017354965196</v>
      </c>
    </row>
    <row r="1904" spans="1:5" x14ac:dyDescent="0.25">
      <c r="A1904" t="s">
        <v>5</v>
      </c>
      <c r="B1904">
        <v>17</v>
      </c>
      <c r="C1904">
        <v>0</v>
      </c>
      <c r="D1904">
        <v>6960</v>
      </c>
      <c r="E1904">
        <v>166.81316709518401</v>
      </c>
    </row>
    <row r="1905" spans="1:5" x14ac:dyDescent="0.25">
      <c r="A1905" t="s">
        <v>6</v>
      </c>
      <c r="B1905">
        <v>17</v>
      </c>
      <c r="C1905">
        <v>0</v>
      </c>
      <c r="D1905">
        <v>7002</v>
      </c>
      <c r="E1905">
        <v>98.564668893814002</v>
      </c>
    </row>
    <row r="1906" spans="1:5" x14ac:dyDescent="0.25">
      <c r="A1906" t="s">
        <v>5</v>
      </c>
      <c r="B1906">
        <v>0</v>
      </c>
      <c r="C1906">
        <v>0.18772217889626799</v>
      </c>
      <c r="D1906">
        <v>6960</v>
      </c>
      <c r="E1906">
        <v>113.41214323043801</v>
      </c>
    </row>
    <row r="1907" spans="1:5" x14ac:dyDescent="0.25">
      <c r="A1907" t="s">
        <v>6</v>
      </c>
      <c r="B1907">
        <v>0</v>
      </c>
      <c r="C1907">
        <v>0.18033329248428301</v>
      </c>
      <c r="D1907">
        <v>7002</v>
      </c>
      <c r="E1907">
        <v>63.571861267089801</v>
      </c>
    </row>
    <row r="1908" spans="1:5" x14ac:dyDescent="0.25">
      <c r="A1908" t="s">
        <v>5</v>
      </c>
      <c r="B1908">
        <v>1</v>
      </c>
      <c r="C1908">
        <v>0.16236106912295001</v>
      </c>
      <c r="D1908">
        <v>6960</v>
      </c>
      <c r="E1908">
        <v>111.828827619552</v>
      </c>
    </row>
    <row r="1909" spans="1:5" x14ac:dyDescent="0.25">
      <c r="A1909" t="s">
        <v>6</v>
      </c>
      <c r="B1909">
        <v>1</v>
      </c>
      <c r="C1909">
        <v>0.15697218239307401</v>
      </c>
      <c r="D1909">
        <v>7002</v>
      </c>
      <c r="E1909">
        <v>64.954023361205998</v>
      </c>
    </row>
    <row r="1910" spans="1:5" x14ac:dyDescent="0.25">
      <c r="A1910" t="s">
        <v>5</v>
      </c>
      <c r="B1910">
        <v>2</v>
      </c>
      <c r="C1910">
        <v>0.13891662637392599</v>
      </c>
      <c r="D1910">
        <v>6960</v>
      </c>
      <c r="E1910">
        <v>111.06382560729899</v>
      </c>
    </row>
    <row r="1911" spans="1:5" x14ac:dyDescent="0.25">
      <c r="A1911" t="s">
        <v>6</v>
      </c>
      <c r="B1911">
        <v>2</v>
      </c>
      <c r="C1911">
        <v>0.13302773594856199</v>
      </c>
      <c r="D1911">
        <v>7002</v>
      </c>
      <c r="E1911">
        <v>63.519635200500403</v>
      </c>
    </row>
    <row r="1912" spans="1:5" x14ac:dyDescent="0.25">
      <c r="A1912" t="s">
        <v>5</v>
      </c>
      <c r="B1912">
        <v>3</v>
      </c>
      <c r="C1912">
        <v>0.12202773710091901</v>
      </c>
      <c r="D1912">
        <v>6960</v>
      </c>
      <c r="E1912">
        <v>111.66558218002299</v>
      </c>
    </row>
    <row r="1913" spans="1:5" x14ac:dyDescent="0.25">
      <c r="A1913" t="s">
        <v>6</v>
      </c>
      <c r="B1913">
        <v>3</v>
      </c>
      <c r="C1913">
        <v>0.10891662478446899</v>
      </c>
      <c r="D1913">
        <v>7002</v>
      </c>
      <c r="E1913">
        <v>63.721933841705301</v>
      </c>
    </row>
    <row r="1914" spans="1:5" x14ac:dyDescent="0.25">
      <c r="A1914" t="s">
        <v>5</v>
      </c>
      <c r="B1914">
        <v>4</v>
      </c>
      <c r="C1914">
        <v>9.5472178856531698E-2</v>
      </c>
      <c r="D1914">
        <v>6960</v>
      </c>
      <c r="E1914">
        <v>111.663995504379</v>
      </c>
    </row>
    <row r="1915" spans="1:5" x14ac:dyDescent="0.25">
      <c r="A1915" t="s">
        <v>6</v>
      </c>
      <c r="B1915">
        <v>4</v>
      </c>
      <c r="C1915">
        <v>8.6333288749059003E-2</v>
      </c>
      <c r="D1915">
        <v>7002</v>
      </c>
      <c r="E1915">
        <v>63.355886697769101</v>
      </c>
    </row>
    <row r="1916" spans="1:5" x14ac:dyDescent="0.25">
      <c r="A1916" t="s">
        <v>5</v>
      </c>
      <c r="B1916">
        <v>5</v>
      </c>
      <c r="C1916">
        <v>8.3916623393694503E-2</v>
      </c>
      <c r="D1916">
        <v>6960</v>
      </c>
      <c r="E1916">
        <v>111.624626159667</v>
      </c>
    </row>
    <row r="1917" spans="1:5" x14ac:dyDescent="0.25">
      <c r="A1917" t="s">
        <v>6</v>
      </c>
      <c r="B1917">
        <v>5</v>
      </c>
      <c r="C1917">
        <v>6.9111068447430896E-2</v>
      </c>
      <c r="D1917">
        <v>7002</v>
      </c>
      <c r="E1917">
        <v>63.322938203811603</v>
      </c>
    </row>
    <row r="1918" spans="1:5" x14ac:dyDescent="0.25">
      <c r="A1918" t="s">
        <v>5</v>
      </c>
      <c r="B1918">
        <v>6</v>
      </c>
      <c r="C1918">
        <v>6.2527734239896104E-2</v>
      </c>
      <c r="D1918">
        <v>6960</v>
      </c>
      <c r="E1918">
        <v>111.99524068832299</v>
      </c>
    </row>
    <row r="1919" spans="1:5" x14ac:dyDescent="0.25">
      <c r="A1919" t="s">
        <v>6</v>
      </c>
      <c r="B1919">
        <v>6</v>
      </c>
      <c r="C1919">
        <v>4.7388848662376401E-2</v>
      </c>
      <c r="D1919">
        <v>7002</v>
      </c>
      <c r="E1919">
        <v>63.654127120971602</v>
      </c>
    </row>
    <row r="1920" spans="1:5" x14ac:dyDescent="0.25">
      <c r="A1920" t="s">
        <v>5</v>
      </c>
      <c r="B1920">
        <v>8</v>
      </c>
      <c r="C1920">
        <v>3.4611074924468903E-2</v>
      </c>
      <c r="D1920">
        <v>6960</v>
      </c>
      <c r="E1920">
        <v>111.463401079177</v>
      </c>
    </row>
    <row r="1921" spans="1:5" x14ac:dyDescent="0.25">
      <c r="A1921" t="s">
        <v>6</v>
      </c>
      <c r="B1921">
        <v>8</v>
      </c>
      <c r="C1921">
        <v>2.30277480681737E-2</v>
      </c>
      <c r="D1921">
        <v>7002</v>
      </c>
      <c r="E1921">
        <v>65.118464946746798</v>
      </c>
    </row>
    <row r="1922" spans="1:5" x14ac:dyDescent="0.25">
      <c r="A1922" t="s">
        <v>5</v>
      </c>
      <c r="B1922">
        <v>9</v>
      </c>
      <c r="C1922">
        <v>2.1555527647336301E-2</v>
      </c>
      <c r="D1922">
        <v>6960</v>
      </c>
      <c r="E1922">
        <v>123.136771917343</v>
      </c>
    </row>
    <row r="1923" spans="1:5" x14ac:dyDescent="0.25">
      <c r="A1923" t="s">
        <v>6</v>
      </c>
      <c r="B1923">
        <v>9</v>
      </c>
      <c r="C1923">
        <v>1.5416641831398001E-2</v>
      </c>
      <c r="D1923">
        <v>7002</v>
      </c>
      <c r="E1923">
        <v>67.867725610733004</v>
      </c>
    </row>
    <row r="1924" spans="1:5" x14ac:dyDescent="0.25">
      <c r="A1924" t="s">
        <v>5</v>
      </c>
      <c r="B1924">
        <v>10</v>
      </c>
      <c r="C1924">
        <v>1.2777760823567699E-2</v>
      </c>
      <c r="D1924">
        <v>6960</v>
      </c>
      <c r="E1924">
        <v>124.30195236206001</v>
      </c>
    </row>
    <row r="1925" spans="1:5" x14ac:dyDescent="0.25">
      <c r="A1925" t="s">
        <v>6</v>
      </c>
      <c r="B1925">
        <v>10</v>
      </c>
      <c r="C1925">
        <v>1.0694424708684201E-2</v>
      </c>
      <c r="D1925">
        <v>7002</v>
      </c>
      <c r="E1925">
        <v>73.878787755966101</v>
      </c>
    </row>
    <row r="1926" spans="1:5" x14ac:dyDescent="0.25">
      <c r="A1926" t="s">
        <v>5</v>
      </c>
      <c r="B1926">
        <v>11</v>
      </c>
      <c r="C1926">
        <v>5.8333245913187604E-3</v>
      </c>
      <c r="D1926">
        <v>6960</v>
      </c>
      <c r="E1926">
        <v>116.002167463302</v>
      </c>
    </row>
    <row r="1927" spans="1:5" x14ac:dyDescent="0.25">
      <c r="A1927" t="s">
        <v>6</v>
      </c>
      <c r="B1927">
        <v>11</v>
      </c>
      <c r="C1927">
        <v>4.9722133080164497E-3</v>
      </c>
      <c r="D1927">
        <v>7002</v>
      </c>
      <c r="E1927">
        <v>63.975328445434499</v>
      </c>
    </row>
    <row r="1928" spans="1:5" x14ac:dyDescent="0.25">
      <c r="A1928" t="s">
        <v>5</v>
      </c>
      <c r="B1928">
        <v>12</v>
      </c>
      <c r="C1928">
        <v>2.0416585604349701E-3</v>
      </c>
      <c r="D1928">
        <v>6960</v>
      </c>
      <c r="E1928">
        <v>127.752518177032</v>
      </c>
    </row>
    <row r="1929" spans="1:5" x14ac:dyDescent="0.25">
      <c r="A1929" t="s">
        <v>6</v>
      </c>
      <c r="B1929">
        <v>12</v>
      </c>
      <c r="C1929">
        <v>2.5555419921874998E-3</v>
      </c>
      <c r="D1929">
        <v>7002</v>
      </c>
      <c r="E1929">
        <v>82.497050046920705</v>
      </c>
    </row>
    <row r="1930" spans="1:5" x14ac:dyDescent="0.25">
      <c r="A1930" t="s">
        <v>5</v>
      </c>
      <c r="B1930">
        <v>13</v>
      </c>
      <c r="C1930">
        <v>1.3194396098454701E-3</v>
      </c>
      <c r="D1930">
        <v>6960</v>
      </c>
      <c r="E1930">
        <v>127.73541259765599</v>
      </c>
    </row>
    <row r="1931" spans="1:5" x14ac:dyDescent="0.25">
      <c r="A1931" t="s">
        <v>6</v>
      </c>
      <c r="B1931">
        <v>13</v>
      </c>
      <c r="C1931">
        <v>7.77773062388102E-4</v>
      </c>
      <c r="D1931">
        <v>7002</v>
      </c>
      <c r="E1931">
        <v>82.536322593688894</v>
      </c>
    </row>
    <row r="1932" spans="1:5" x14ac:dyDescent="0.25">
      <c r="A1932" t="s">
        <v>5</v>
      </c>
      <c r="B1932">
        <v>14</v>
      </c>
      <c r="C1932">
        <v>3.6111017068227099E-4</v>
      </c>
      <c r="D1932">
        <v>6960</v>
      </c>
      <c r="E1932">
        <v>180.202906370162</v>
      </c>
    </row>
    <row r="1933" spans="1:5" x14ac:dyDescent="0.25">
      <c r="A1933" t="s">
        <v>6</v>
      </c>
      <c r="B1933">
        <v>14</v>
      </c>
      <c r="C1933">
        <v>3.5185019175211501E-4</v>
      </c>
      <c r="D1933">
        <v>7002</v>
      </c>
      <c r="E1933">
        <v>98.830513715744004</v>
      </c>
    </row>
    <row r="1934" spans="1:5" x14ac:dyDescent="0.25">
      <c r="A1934" t="s">
        <v>5</v>
      </c>
      <c r="B1934">
        <v>15</v>
      </c>
      <c r="C1934" s="1">
        <v>8.3333055178324295E-5</v>
      </c>
      <c r="D1934">
        <v>6960</v>
      </c>
      <c r="E1934">
        <v>168.77350902557299</v>
      </c>
    </row>
    <row r="1935" spans="1:5" x14ac:dyDescent="0.25">
      <c r="A1935" t="s">
        <v>6</v>
      </c>
      <c r="B1935">
        <v>15</v>
      </c>
      <c r="C1935">
        <v>1.6666611035664799E-4</v>
      </c>
      <c r="D1935">
        <v>7002</v>
      </c>
      <c r="E1935">
        <v>98.588826656341496</v>
      </c>
    </row>
    <row r="1936" spans="1:5" x14ac:dyDescent="0.25">
      <c r="A1936" t="s">
        <v>5</v>
      </c>
      <c r="B1936">
        <v>16</v>
      </c>
      <c r="C1936" s="1">
        <v>9.2592239379882802E-5</v>
      </c>
      <c r="D1936">
        <v>6960</v>
      </c>
      <c r="E1936">
        <v>166.14122724532999</v>
      </c>
    </row>
    <row r="1937" spans="1:5" x14ac:dyDescent="0.25">
      <c r="A1937" t="s">
        <v>6</v>
      </c>
      <c r="B1937">
        <v>16</v>
      </c>
      <c r="C1937" s="1">
        <v>3.7036736806233697E-5</v>
      </c>
      <c r="D1937">
        <v>7002</v>
      </c>
      <c r="E1937">
        <v>98.9574294090271</v>
      </c>
    </row>
    <row r="1938" spans="1:5" x14ac:dyDescent="0.25">
      <c r="A1938" t="s">
        <v>5</v>
      </c>
      <c r="B1938">
        <v>17</v>
      </c>
      <c r="C1938" s="1">
        <v>2.7777751286824498E-5</v>
      </c>
      <c r="D1938">
        <v>6960</v>
      </c>
      <c r="E1938">
        <v>165.509481430053</v>
      </c>
    </row>
    <row r="1939" spans="1:5" x14ac:dyDescent="0.25">
      <c r="A1939" t="s">
        <v>6</v>
      </c>
      <c r="B1939">
        <v>17</v>
      </c>
      <c r="C1939">
        <v>0</v>
      </c>
      <c r="D1939">
        <v>7002</v>
      </c>
      <c r="E1939">
        <v>99.031333684921194</v>
      </c>
    </row>
    <row r="1940" spans="1:5" x14ac:dyDescent="0.25">
      <c r="A1940" t="s">
        <v>5</v>
      </c>
      <c r="B1940">
        <v>0</v>
      </c>
      <c r="C1940">
        <v>0.18580551485220501</v>
      </c>
      <c r="D1940">
        <v>6960</v>
      </c>
      <c r="E1940">
        <v>112.876912593841</v>
      </c>
    </row>
    <row r="1941" spans="1:5" x14ac:dyDescent="0.25">
      <c r="A1941" t="s">
        <v>6</v>
      </c>
      <c r="B1941">
        <v>0</v>
      </c>
      <c r="C1941">
        <v>0.179638846913973</v>
      </c>
      <c r="D1941">
        <v>7002</v>
      </c>
      <c r="E1941">
        <v>63.721886634826603</v>
      </c>
    </row>
    <row r="1942" spans="1:5" x14ac:dyDescent="0.25">
      <c r="A1942" t="s">
        <v>5</v>
      </c>
      <c r="B1942">
        <v>1</v>
      </c>
      <c r="C1942">
        <v>0.15977773567040701</v>
      </c>
      <c r="D1942">
        <v>6960</v>
      </c>
      <c r="E1942">
        <v>113.11013817787099</v>
      </c>
    </row>
    <row r="1943" spans="1:5" x14ac:dyDescent="0.25">
      <c r="A1943" t="s">
        <v>6</v>
      </c>
      <c r="B1943">
        <v>1</v>
      </c>
      <c r="C1943">
        <v>0.15802773555119801</v>
      </c>
      <c r="D1943">
        <v>7002</v>
      </c>
      <c r="E1943">
        <v>63.771761417388902</v>
      </c>
    </row>
    <row r="1944" spans="1:5" x14ac:dyDescent="0.25">
      <c r="A1944" t="s">
        <v>5</v>
      </c>
      <c r="B1944">
        <v>2</v>
      </c>
      <c r="C1944">
        <v>0.141916625897089</v>
      </c>
      <c r="D1944">
        <v>6960</v>
      </c>
      <c r="E1944">
        <v>111.91648674011201</v>
      </c>
    </row>
    <row r="1945" spans="1:5" x14ac:dyDescent="0.25">
      <c r="A1945" t="s">
        <v>6</v>
      </c>
      <c r="B1945">
        <v>2</v>
      </c>
      <c r="C1945">
        <v>0.134555514256159</v>
      </c>
      <c r="D1945">
        <v>7002</v>
      </c>
      <c r="E1945">
        <v>63.619816303253103</v>
      </c>
    </row>
    <row r="1946" spans="1:5" x14ac:dyDescent="0.25">
      <c r="A1946" t="s">
        <v>5</v>
      </c>
      <c r="B1946">
        <v>3</v>
      </c>
      <c r="C1946">
        <v>0.122249959111213</v>
      </c>
      <c r="D1946">
        <v>6960</v>
      </c>
      <c r="E1946">
        <v>111.581730127334</v>
      </c>
    </row>
    <row r="1947" spans="1:5" x14ac:dyDescent="0.25">
      <c r="A1947" t="s">
        <v>6</v>
      </c>
      <c r="B1947">
        <v>3</v>
      </c>
      <c r="C1947">
        <v>0.110833290219306</v>
      </c>
      <c r="D1947">
        <v>7002</v>
      </c>
      <c r="E1947">
        <v>63.571901559829698</v>
      </c>
    </row>
    <row r="1948" spans="1:5" x14ac:dyDescent="0.25">
      <c r="A1948" t="s">
        <v>5</v>
      </c>
      <c r="B1948">
        <v>4</v>
      </c>
      <c r="C1948">
        <v>9.8111068209012303E-2</v>
      </c>
      <c r="D1948">
        <v>6960</v>
      </c>
      <c r="E1948">
        <v>112.084192037582</v>
      </c>
    </row>
    <row r="1949" spans="1:5" x14ac:dyDescent="0.25">
      <c r="A1949" t="s">
        <v>6</v>
      </c>
      <c r="B1949">
        <v>4</v>
      </c>
      <c r="C1949">
        <v>8.5083290537198306E-2</v>
      </c>
      <c r="D1949">
        <v>7002</v>
      </c>
      <c r="E1949">
        <v>63.922984600067103</v>
      </c>
    </row>
    <row r="1950" spans="1:5" x14ac:dyDescent="0.25">
      <c r="A1950" t="s">
        <v>5</v>
      </c>
      <c r="B1950">
        <v>5</v>
      </c>
      <c r="C1950">
        <v>8.0083289742469699E-2</v>
      </c>
      <c r="D1950">
        <v>6960</v>
      </c>
      <c r="E1950">
        <v>111.455054283142</v>
      </c>
    </row>
    <row r="1951" spans="1:5" x14ac:dyDescent="0.25">
      <c r="A1951" t="s">
        <v>6</v>
      </c>
      <c r="B1951">
        <v>5</v>
      </c>
      <c r="C1951">
        <v>6.6194400588671307E-2</v>
      </c>
      <c r="D1951">
        <v>7002</v>
      </c>
      <c r="E1951">
        <v>63.512545108795102</v>
      </c>
    </row>
    <row r="1952" spans="1:5" x14ac:dyDescent="0.25">
      <c r="A1952" t="s">
        <v>5</v>
      </c>
      <c r="B1952">
        <v>6</v>
      </c>
      <c r="C1952">
        <v>6.0166624188423098E-2</v>
      </c>
      <c r="D1952">
        <v>6960</v>
      </c>
      <c r="E1952">
        <v>111.884443759918</v>
      </c>
    </row>
    <row r="1953" spans="1:5" x14ac:dyDescent="0.25">
      <c r="A1953" t="s">
        <v>6</v>
      </c>
      <c r="B1953">
        <v>6</v>
      </c>
      <c r="C1953">
        <v>4.9249958197275699E-2</v>
      </c>
      <c r="D1953">
        <v>7002</v>
      </c>
      <c r="E1953">
        <v>63.732207298278801</v>
      </c>
    </row>
    <row r="1954" spans="1:5" x14ac:dyDescent="0.25">
      <c r="A1954" t="s">
        <v>5</v>
      </c>
      <c r="B1954">
        <v>8</v>
      </c>
      <c r="C1954">
        <v>3.6499962806701598E-2</v>
      </c>
      <c r="D1954">
        <v>6960</v>
      </c>
      <c r="E1954">
        <v>111.05163049697801</v>
      </c>
    </row>
    <row r="1955" spans="1:5" x14ac:dyDescent="0.25">
      <c r="A1955" t="s">
        <v>6</v>
      </c>
      <c r="B1955">
        <v>8</v>
      </c>
      <c r="C1955">
        <v>2.3833299477895101E-2</v>
      </c>
      <c r="D1955">
        <v>7002</v>
      </c>
      <c r="E1955">
        <v>63.736371040344203</v>
      </c>
    </row>
    <row r="1956" spans="1:5" x14ac:dyDescent="0.25">
      <c r="A1956" t="s">
        <v>5</v>
      </c>
      <c r="B1956">
        <v>9</v>
      </c>
      <c r="C1956">
        <v>2.2694417436917601E-2</v>
      </c>
      <c r="D1956">
        <v>6960</v>
      </c>
      <c r="E1956">
        <v>112.19621682167001</v>
      </c>
    </row>
    <row r="1957" spans="1:5" x14ac:dyDescent="0.25">
      <c r="A1957" t="s">
        <v>6</v>
      </c>
      <c r="B1957">
        <v>9</v>
      </c>
      <c r="C1957">
        <v>1.54999772707621E-2</v>
      </c>
      <c r="D1957">
        <v>7002</v>
      </c>
      <c r="E1957">
        <v>63.554014682769697</v>
      </c>
    </row>
    <row r="1958" spans="1:5" x14ac:dyDescent="0.25">
      <c r="A1958" t="s">
        <v>5</v>
      </c>
      <c r="B1958">
        <v>10</v>
      </c>
      <c r="C1958">
        <v>1.43888713916142E-2</v>
      </c>
      <c r="D1958">
        <v>6960</v>
      </c>
      <c r="E1958">
        <v>111.57929444313</v>
      </c>
    </row>
    <row r="1959" spans="1:5" x14ac:dyDescent="0.25">
      <c r="A1959" t="s">
        <v>6</v>
      </c>
      <c r="B1959">
        <v>10</v>
      </c>
      <c r="C1959">
        <v>1.2055534720420801E-2</v>
      </c>
      <c r="D1959">
        <v>7002</v>
      </c>
      <c r="E1959">
        <v>63.6040935516357</v>
      </c>
    </row>
    <row r="1960" spans="1:5" x14ac:dyDescent="0.25">
      <c r="A1960" t="s">
        <v>5</v>
      </c>
      <c r="B1960">
        <v>11</v>
      </c>
      <c r="C1960">
        <v>5.80554763476053E-3</v>
      </c>
      <c r="D1960">
        <v>6960</v>
      </c>
      <c r="E1960">
        <v>112.76611328125</v>
      </c>
    </row>
    <row r="1961" spans="1:5" x14ac:dyDescent="0.25">
      <c r="A1961" t="s">
        <v>6</v>
      </c>
      <c r="B1961">
        <v>11</v>
      </c>
      <c r="C1961">
        <v>6.5555439392725604E-3</v>
      </c>
      <c r="D1961">
        <v>7002</v>
      </c>
      <c r="E1961">
        <v>63.855017662048297</v>
      </c>
    </row>
    <row r="1962" spans="1:5" x14ac:dyDescent="0.25">
      <c r="A1962" t="s">
        <v>5</v>
      </c>
      <c r="B1962">
        <v>12</v>
      </c>
      <c r="C1962">
        <v>2.55554536978403E-3</v>
      </c>
      <c r="D1962">
        <v>6960</v>
      </c>
      <c r="E1962">
        <v>129.05169630050599</v>
      </c>
    </row>
    <row r="1963" spans="1:5" x14ac:dyDescent="0.25">
      <c r="A1963" t="s">
        <v>6</v>
      </c>
      <c r="B1963">
        <v>12</v>
      </c>
      <c r="C1963">
        <v>2.02776829401652E-3</v>
      </c>
      <c r="D1963">
        <v>7002</v>
      </c>
      <c r="E1963">
        <v>82.304601192474294</v>
      </c>
    </row>
    <row r="1964" spans="1:5" x14ac:dyDescent="0.25">
      <c r="A1964" t="s">
        <v>5</v>
      </c>
      <c r="B1964">
        <v>13</v>
      </c>
      <c r="C1964">
        <v>6.5277477105458504E-4</v>
      </c>
      <c r="D1964">
        <v>6960</v>
      </c>
      <c r="E1964">
        <v>127.545369148254</v>
      </c>
    </row>
    <row r="1965" spans="1:5" x14ac:dyDescent="0.25">
      <c r="A1965" t="s">
        <v>6</v>
      </c>
      <c r="B1965">
        <v>13</v>
      </c>
      <c r="C1965">
        <v>9.44438974062601E-4</v>
      </c>
      <c r="D1965">
        <v>7002</v>
      </c>
      <c r="E1965">
        <v>82.072012186050401</v>
      </c>
    </row>
    <row r="1966" spans="1:5" x14ac:dyDescent="0.25">
      <c r="A1966" t="s">
        <v>5</v>
      </c>
      <c r="B1966">
        <v>14</v>
      </c>
      <c r="C1966">
        <v>2.12962428728739E-4</v>
      </c>
      <c r="D1966">
        <v>6960</v>
      </c>
      <c r="E1966">
        <v>185.399457454681</v>
      </c>
    </row>
    <row r="1967" spans="1:5" x14ac:dyDescent="0.25">
      <c r="A1967" t="s">
        <v>6</v>
      </c>
      <c r="B1967">
        <v>14</v>
      </c>
      <c r="C1967">
        <v>3.5184999306996599E-4</v>
      </c>
      <c r="D1967">
        <v>7002</v>
      </c>
      <c r="E1967">
        <v>99.856743574142399</v>
      </c>
    </row>
    <row r="1968" spans="1:5" x14ac:dyDescent="0.25">
      <c r="A1968" t="s">
        <v>5</v>
      </c>
      <c r="B1968">
        <v>15</v>
      </c>
      <c r="C1968" s="1">
        <v>3.7036935488382901E-5</v>
      </c>
      <c r="D1968">
        <v>6960</v>
      </c>
      <c r="E1968">
        <v>169.49260354041999</v>
      </c>
    </row>
    <row r="1969" spans="1:5" x14ac:dyDescent="0.25">
      <c r="A1969" t="s">
        <v>6</v>
      </c>
      <c r="B1969">
        <v>15</v>
      </c>
      <c r="C1969">
        <v>1.1111040910085E-4</v>
      </c>
      <c r="D1969">
        <v>7002</v>
      </c>
      <c r="E1969">
        <v>98.483670711517306</v>
      </c>
    </row>
    <row r="1970" spans="1:5" x14ac:dyDescent="0.25">
      <c r="A1970" t="s">
        <v>5</v>
      </c>
      <c r="B1970">
        <v>16</v>
      </c>
      <c r="C1970">
        <v>0</v>
      </c>
      <c r="D1970">
        <v>6960</v>
      </c>
      <c r="E1970">
        <v>165.93246841430599</v>
      </c>
    </row>
    <row r="1971" spans="1:5" x14ac:dyDescent="0.25">
      <c r="A1971" t="s">
        <v>6</v>
      </c>
      <c r="B1971">
        <v>16</v>
      </c>
      <c r="C1971">
        <v>1.01851423581441E-4</v>
      </c>
      <c r="D1971">
        <v>7002</v>
      </c>
      <c r="E1971">
        <v>98.484378576278601</v>
      </c>
    </row>
    <row r="1972" spans="1:5" x14ac:dyDescent="0.25">
      <c r="A1972" t="s">
        <v>5</v>
      </c>
      <c r="B1972">
        <v>17</v>
      </c>
      <c r="C1972" s="1">
        <v>7.4073870976765896E-5</v>
      </c>
      <c r="D1972">
        <v>6960</v>
      </c>
      <c r="E1972">
        <v>166.47359681129399</v>
      </c>
    </row>
    <row r="1973" spans="1:5" x14ac:dyDescent="0.25">
      <c r="A1973" t="s">
        <v>6</v>
      </c>
      <c r="B1973">
        <v>17</v>
      </c>
      <c r="C1973">
        <v>0</v>
      </c>
      <c r="D1973">
        <v>7002</v>
      </c>
      <c r="E1973">
        <v>98.512655496597205</v>
      </c>
    </row>
    <row r="1974" spans="1:5" x14ac:dyDescent="0.25">
      <c r="A1974" t="s">
        <v>5</v>
      </c>
      <c r="B1974">
        <v>0</v>
      </c>
      <c r="C1974">
        <v>0.18811106741428299</v>
      </c>
      <c r="D1974">
        <v>6960</v>
      </c>
      <c r="E1974">
        <v>112.421813726425</v>
      </c>
    </row>
    <row r="1975" spans="1:5" x14ac:dyDescent="0.25">
      <c r="A1975" t="s">
        <v>6</v>
      </c>
      <c r="B1975">
        <v>0</v>
      </c>
      <c r="C1975">
        <v>0.18102773626645399</v>
      </c>
      <c r="D1975">
        <v>7002</v>
      </c>
      <c r="E1975">
        <v>63.8562426567077</v>
      </c>
    </row>
    <row r="1976" spans="1:5" x14ac:dyDescent="0.25">
      <c r="A1976" t="s">
        <v>5</v>
      </c>
      <c r="B1976">
        <v>1</v>
      </c>
      <c r="C1976">
        <v>0.16449995776017501</v>
      </c>
      <c r="D1976">
        <v>6960</v>
      </c>
      <c r="E1976">
        <v>112.421606302261</v>
      </c>
    </row>
    <row r="1977" spans="1:5" x14ac:dyDescent="0.25">
      <c r="A1977" t="s">
        <v>6</v>
      </c>
      <c r="B1977">
        <v>1</v>
      </c>
      <c r="C1977">
        <v>0.15666662534077899</v>
      </c>
      <c r="D1977">
        <v>7002</v>
      </c>
      <c r="E1977">
        <v>63.863003730773897</v>
      </c>
    </row>
    <row r="1978" spans="1:5" x14ac:dyDescent="0.25">
      <c r="A1978" t="s">
        <v>5</v>
      </c>
      <c r="B1978">
        <v>2</v>
      </c>
      <c r="C1978">
        <v>0.141638846993446</v>
      </c>
      <c r="D1978">
        <v>6960</v>
      </c>
      <c r="E1978">
        <v>114.15403175354</v>
      </c>
    </row>
    <row r="1979" spans="1:5" x14ac:dyDescent="0.25">
      <c r="A1979" t="s">
        <v>6</v>
      </c>
      <c r="B1979">
        <v>2</v>
      </c>
      <c r="C1979">
        <v>0.13149996042251499</v>
      </c>
      <c r="D1979">
        <v>7002</v>
      </c>
      <c r="E1979">
        <v>63.7225084304809</v>
      </c>
    </row>
    <row r="1980" spans="1:5" x14ac:dyDescent="0.25">
      <c r="A1980" t="s">
        <v>5</v>
      </c>
      <c r="B1980">
        <v>3</v>
      </c>
      <c r="C1980">
        <v>0.120249960025151</v>
      </c>
      <c r="D1980">
        <v>6960</v>
      </c>
      <c r="E1980">
        <v>112.75079298019401</v>
      </c>
    </row>
    <row r="1981" spans="1:5" x14ac:dyDescent="0.25">
      <c r="A1981" t="s">
        <v>6</v>
      </c>
      <c r="B1981">
        <v>3</v>
      </c>
      <c r="C1981">
        <v>0.111499958435694</v>
      </c>
      <c r="D1981">
        <v>7002</v>
      </c>
      <c r="E1981">
        <v>63.787743806838897</v>
      </c>
    </row>
    <row r="1982" spans="1:5" x14ac:dyDescent="0.25">
      <c r="A1982" t="s">
        <v>5</v>
      </c>
      <c r="B1982">
        <v>4</v>
      </c>
      <c r="C1982">
        <v>9.9611067374547294E-2</v>
      </c>
      <c r="D1982">
        <v>6960</v>
      </c>
      <c r="E1982">
        <v>111.412231206893</v>
      </c>
    </row>
    <row r="1983" spans="1:5" x14ac:dyDescent="0.25">
      <c r="A1983" t="s">
        <v>6</v>
      </c>
      <c r="B1983">
        <v>4</v>
      </c>
      <c r="C1983">
        <v>8.7333288391431105E-2</v>
      </c>
      <c r="D1983">
        <v>7002</v>
      </c>
      <c r="E1983">
        <v>63.658100843429501</v>
      </c>
    </row>
    <row r="1984" spans="1:5" x14ac:dyDescent="0.25">
      <c r="A1984" t="s">
        <v>5</v>
      </c>
      <c r="B1984">
        <v>5</v>
      </c>
      <c r="C1984">
        <v>8.0722177624702393E-2</v>
      </c>
      <c r="D1984">
        <v>6960</v>
      </c>
      <c r="E1984">
        <v>112.600289106369</v>
      </c>
    </row>
    <row r="1985" spans="1:5" x14ac:dyDescent="0.25">
      <c r="A1985" t="s">
        <v>6</v>
      </c>
      <c r="B1985">
        <v>5</v>
      </c>
      <c r="C1985">
        <v>6.59166236718495E-2</v>
      </c>
      <c r="D1985">
        <v>7002</v>
      </c>
      <c r="E1985">
        <v>63.906267881393397</v>
      </c>
    </row>
    <row r="1986" spans="1:5" x14ac:dyDescent="0.25">
      <c r="A1986" t="s">
        <v>5</v>
      </c>
      <c r="B1986">
        <v>6</v>
      </c>
      <c r="C1986">
        <v>6.0222178300221703E-2</v>
      </c>
      <c r="D1986">
        <v>6960</v>
      </c>
      <c r="E1986">
        <v>112.018028736114</v>
      </c>
    </row>
    <row r="1987" spans="1:5" x14ac:dyDescent="0.25">
      <c r="A1987" t="s">
        <v>6</v>
      </c>
      <c r="B1987">
        <v>6</v>
      </c>
      <c r="C1987">
        <v>4.5861071348190299E-2</v>
      </c>
      <c r="D1987">
        <v>7002</v>
      </c>
      <c r="E1987">
        <v>63.704132318496697</v>
      </c>
    </row>
    <row r="1988" spans="1:5" x14ac:dyDescent="0.25">
      <c r="A1988" t="s">
        <v>5</v>
      </c>
      <c r="B1988">
        <v>8</v>
      </c>
      <c r="C1988">
        <v>3.4638853470484399E-2</v>
      </c>
      <c r="D1988">
        <v>6960</v>
      </c>
      <c r="E1988">
        <v>112.372314691543</v>
      </c>
    </row>
    <row r="1989" spans="1:5" x14ac:dyDescent="0.25">
      <c r="A1989" t="s">
        <v>6</v>
      </c>
      <c r="B1989">
        <v>8</v>
      </c>
      <c r="C1989">
        <v>2.5861079295476201E-2</v>
      </c>
      <c r="D1989">
        <v>7002</v>
      </c>
      <c r="E1989">
        <v>63.7729685306549</v>
      </c>
    </row>
    <row r="1990" spans="1:5" x14ac:dyDescent="0.25">
      <c r="A1990" t="s">
        <v>5</v>
      </c>
      <c r="B1990">
        <v>9</v>
      </c>
      <c r="C1990">
        <v>2.08333071072896E-2</v>
      </c>
      <c r="D1990">
        <v>6960</v>
      </c>
      <c r="E1990">
        <v>112.44595766067501</v>
      </c>
    </row>
    <row r="1991" spans="1:5" x14ac:dyDescent="0.25">
      <c r="A1991" t="s">
        <v>6</v>
      </c>
      <c r="B1991">
        <v>9</v>
      </c>
      <c r="C1991">
        <v>1.8222196698188701E-2</v>
      </c>
      <c r="D1991">
        <v>7002</v>
      </c>
      <c r="E1991">
        <v>63.921782970428403</v>
      </c>
    </row>
    <row r="1992" spans="1:5" x14ac:dyDescent="0.25">
      <c r="A1992" t="s">
        <v>5</v>
      </c>
      <c r="B1992">
        <v>10</v>
      </c>
      <c r="C1992">
        <v>1.26110949118932E-2</v>
      </c>
      <c r="D1992">
        <v>6960</v>
      </c>
      <c r="E1992">
        <v>111.70896768569899</v>
      </c>
    </row>
    <row r="1993" spans="1:5" x14ac:dyDescent="0.25">
      <c r="A1993" t="s">
        <v>6</v>
      </c>
      <c r="B1993">
        <v>10</v>
      </c>
      <c r="C1993">
        <v>1.03055377801259E-2</v>
      </c>
      <c r="D1993">
        <v>7002</v>
      </c>
      <c r="E1993">
        <v>63.606446743011396</v>
      </c>
    </row>
    <row r="1994" spans="1:5" x14ac:dyDescent="0.25">
      <c r="A1994" t="s">
        <v>5</v>
      </c>
      <c r="B1994">
        <v>11</v>
      </c>
      <c r="C1994">
        <v>7.1944344043731604E-3</v>
      </c>
      <c r="D1994">
        <v>6960</v>
      </c>
      <c r="E1994">
        <v>111.61606025695799</v>
      </c>
    </row>
    <row r="1995" spans="1:5" x14ac:dyDescent="0.25">
      <c r="A1995" t="s">
        <v>6</v>
      </c>
      <c r="B1995">
        <v>11</v>
      </c>
      <c r="C1995">
        <v>6.3055457671483302E-3</v>
      </c>
      <c r="D1995">
        <v>7002</v>
      </c>
      <c r="E1995">
        <v>63.624121189117403</v>
      </c>
    </row>
    <row r="1996" spans="1:5" x14ac:dyDescent="0.25">
      <c r="A1996" t="s">
        <v>5</v>
      </c>
      <c r="B1996">
        <v>12</v>
      </c>
      <c r="C1996">
        <v>2.1388802925745602E-3</v>
      </c>
      <c r="D1996">
        <v>6960</v>
      </c>
      <c r="E1996">
        <v>127.701618432998</v>
      </c>
    </row>
    <row r="1997" spans="1:5" x14ac:dyDescent="0.25">
      <c r="A1997" t="s">
        <v>6</v>
      </c>
      <c r="B1997">
        <v>12</v>
      </c>
      <c r="C1997">
        <v>2.5972090164820302E-3</v>
      </c>
      <c r="D1997">
        <v>7002</v>
      </c>
      <c r="E1997">
        <v>82.387507438659597</v>
      </c>
    </row>
    <row r="1998" spans="1:5" x14ac:dyDescent="0.25">
      <c r="A1998" t="s">
        <v>5</v>
      </c>
      <c r="B1998">
        <v>13</v>
      </c>
      <c r="C1998">
        <v>7.4999729792276997E-4</v>
      </c>
      <c r="D1998">
        <v>6960</v>
      </c>
      <c r="E1998">
        <v>128.81189823150601</v>
      </c>
    </row>
    <row r="1999" spans="1:5" x14ac:dyDescent="0.25">
      <c r="A1999" t="s">
        <v>6</v>
      </c>
      <c r="B1999">
        <v>13</v>
      </c>
      <c r="C1999">
        <v>9.8610579967498696E-4</v>
      </c>
      <c r="D1999">
        <v>7002</v>
      </c>
      <c r="E1999">
        <v>82.437670707702594</v>
      </c>
    </row>
    <row r="2000" spans="1:5" x14ac:dyDescent="0.25">
      <c r="A2000" t="s">
        <v>5</v>
      </c>
      <c r="B2000">
        <v>14</v>
      </c>
      <c r="C2000">
        <v>3.33332816759745E-4</v>
      </c>
      <c r="D2000">
        <v>6960</v>
      </c>
      <c r="E2000">
        <v>174.67665672302201</v>
      </c>
    </row>
    <row r="2001" spans="1:5" x14ac:dyDescent="0.25">
      <c r="A2001" t="s">
        <v>6</v>
      </c>
      <c r="B2001">
        <v>14</v>
      </c>
      <c r="C2001">
        <v>5.3703526655832895E-4</v>
      </c>
      <c r="D2001">
        <v>7002</v>
      </c>
      <c r="E2001">
        <v>98.913728952407794</v>
      </c>
    </row>
    <row r="2002" spans="1:5" x14ac:dyDescent="0.25">
      <c r="A2002" t="s">
        <v>5</v>
      </c>
      <c r="B2002">
        <v>15</v>
      </c>
      <c r="C2002">
        <v>1.94443861643473E-4</v>
      </c>
      <c r="D2002">
        <v>6960</v>
      </c>
      <c r="E2002">
        <v>175.22792673110899</v>
      </c>
    </row>
    <row r="2003" spans="1:5" x14ac:dyDescent="0.25">
      <c r="A2003" t="s">
        <v>6</v>
      </c>
      <c r="B2003">
        <v>15</v>
      </c>
      <c r="C2003">
        <v>1.7592449982961001E-4</v>
      </c>
      <c r="D2003">
        <v>7002</v>
      </c>
      <c r="E2003">
        <v>98.880347251892005</v>
      </c>
    </row>
    <row r="2004" spans="1:5" x14ac:dyDescent="0.25">
      <c r="A2004" t="s">
        <v>5</v>
      </c>
      <c r="B2004">
        <v>16</v>
      </c>
      <c r="C2004" s="1">
        <v>3.7036935488382901E-5</v>
      </c>
      <c r="D2004">
        <v>6960</v>
      </c>
      <c r="E2004">
        <v>164.55566358566199</v>
      </c>
    </row>
    <row r="2005" spans="1:5" x14ac:dyDescent="0.25">
      <c r="A2005" t="s">
        <v>6</v>
      </c>
      <c r="B2005">
        <v>16</v>
      </c>
      <c r="C2005" s="1">
        <v>8.3333055178324295E-5</v>
      </c>
      <c r="D2005">
        <v>7002</v>
      </c>
      <c r="E2005">
        <v>98.979288578033405</v>
      </c>
    </row>
    <row r="2006" spans="1:5" x14ac:dyDescent="0.25">
      <c r="A2006" t="s">
        <v>5</v>
      </c>
      <c r="B2006">
        <v>17</v>
      </c>
      <c r="C2006">
        <v>0</v>
      </c>
      <c r="D2006">
        <v>6960</v>
      </c>
      <c r="E2006">
        <v>165.54182362556401</v>
      </c>
    </row>
    <row r="2007" spans="1:5" x14ac:dyDescent="0.25">
      <c r="A2007" t="s">
        <v>6</v>
      </c>
      <c r="B2007">
        <v>17</v>
      </c>
      <c r="C2007" s="1">
        <v>1.8518368403116801E-5</v>
      </c>
      <c r="D2007">
        <v>7002</v>
      </c>
      <c r="E2007">
        <v>99.047185659408498</v>
      </c>
    </row>
    <row r="2008" spans="1:5" x14ac:dyDescent="0.25">
      <c r="A2008" t="s">
        <v>5</v>
      </c>
      <c r="B2008">
        <v>0</v>
      </c>
      <c r="C2008">
        <v>0.18752773483594201</v>
      </c>
      <c r="D2008">
        <v>6960</v>
      </c>
      <c r="E2008">
        <v>112.142061710357</v>
      </c>
    </row>
    <row r="2009" spans="1:5" x14ac:dyDescent="0.25">
      <c r="A2009" t="s">
        <v>6</v>
      </c>
      <c r="B2009">
        <v>0</v>
      </c>
      <c r="C2009">
        <v>0.17894440233707401</v>
      </c>
      <c r="D2009">
        <v>7002</v>
      </c>
      <c r="E2009">
        <v>64.121366739273</v>
      </c>
    </row>
    <row r="2010" spans="1:5" x14ac:dyDescent="0.25">
      <c r="A2010" t="s">
        <v>5</v>
      </c>
      <c r="B2010">
        <v>1</v>
      </c>
      <c r="C2010">
        <v>0.164361069599787</v>
      </c>
      <c r="D2010">
        <v>6960</v>
      </c>
      <c r="E2010">
        <v>111.73931837081901</v>
      </c>
    </row>
    <row r="2011" spans="1:5" x14ac:dyDescent="0.25">
      <c r="A2011" t="s">
        <v>6</v>
      </c>
      <c r="B2011">
        <v>1</v>
      </c>
      <c r="C2011">
        <v>0.15808329125245399</v>
      </c>
      <c r="D2011">
        <v>7002</v>
      </c>
      <c r="E2011">
        <v>63.771804094314497</v>
      </c>
    </row>
    <row r="2012" spans="1:5" x14ac:dyDescent="0.25">
      <c r="A2012" t="s">
        <v>5</v>
      </c>
      <c r="B2012">
        <v>2</v>
      </c>
      <c r="C2012">
        <v>0.14261106848716701</v>
      </c>
      <c r="D2012">
        <v>6960</v>
      </c>
      <c r="E2012">
        <v>112.09284949302599</v>
      </c>
    </row>
    <row r="2013" spans="1:5" x14ac:dyDescent="0.25">
      <c r="A2013" t="s">
        <v>6</v>
      </c>
      <c r="B2013">
        <v>2</v>
      </c>
      <c r="C2013">
        <v>0.13411107063293401</v>
      </c>
      <c r="D2013">
        <v>7002</v>
      </c>
      <c r="E2013">
        <v>63.820914506912203</v>
      </c>
    </row>
    <row r="2014" spans="1:5" x14ac:dyDescent="0.25">
      <c r="A2014" t="s">
        <v>5</v>
      </c>
      <c r="B2014">
        <v>3</v>
      </c>
      <c r="C2014">
        <v>0.11899995903174</v>
      </c>
      <c r="D2014">
        <v>6960</v>
      </c>
      <c r="E2014">
        <v>113.08345675468399</v>
      </c>
    </row>
    <row r="2015" spans="1:5" x14ac:dyDescent="0.25">
      <c r="A2015" t="s">
        <v>6</v>
      </c>
      <c r="B2015">
        <v>3</v>
      </c>
      <c r="C2015">
        <v>0.109222178856531</v>
      </c>
      <c r="D2015">
        <v>7002</v>
      </c>
      <c r="E2015">
        <v>63.751020669937098</v>
      </c>
    </row>
    <row r="2016" spans="1:5" x14ac:dyDescent="0.25">
      <c r="A2016" t="s">
        <v>5</v>
      </c>
      <c r="B2016">
        <v>4</v>
      </c>
      <c r="C2016">
        <v>0.100527734160423</v>
      </c>
      <c r="D2016">
        <v>6960</v>
      </c>
      <c r="E2016">
        <v>111.98420548439</v>
      </c>
    </row>
    <row r="2017" spans="1:5" x14ac:dyDescent="0.25">
      <c r="A2017" t="s">
        <v>6</v>
      </c>
      <c r="B2017">
        <v>4</v>
      </c>
      <c r="C2017">
        <v>8.7277733484903905E-2</v>
      </c>
      <c r="D2017">
        <v>7002</v>
      </c>
      <c r="E2017">
        <v>63.871969699859598</v>
      </c>
    </row>
    <row r="2018" spans="1:5" x14ac:dyDescent="0.25">
      <c r="A2018" t="s">
        <v>5</v>
      </c>
      <c r="B2018">
        <v>5</v>
      </c>
      <c r="C2018">
        <v>8.1638845006624799E-2</v>
      </c>
      <c r="D2018">
        <v>6960</v>
      </c>
      <c r="E2018">
        <v>111.717143058776</v>
      </c>
    </row>
    <row r="2019" spans="1:5" x14ac:dyDescent="0.25">
      <c r="A2019" t="s">
        <v>6</v>
      </c>
      <c r="B2019">
        <v>5</v>
      </c>
      <c r="C2019">
        <v>6.6694402694702101E-2</v>
      </c>
      <c r="D2019">
        <v>7002</v>
      </c>
      <c r="E2019">
        <v>63.671879291534403</v>
      </c>
    </row>
    <row r="2020" spans="1:5" x14ac:dyDescent="0.25">
      <c r="A2020" t="s">
        <v>5</v>
      </c>
      <c r="B2020">
        <v>6</v>
      </c>
      <c r="C2020">
        <v>6.2083289821942597E-2</v>
      </c>
      <c r="D2020">
        <v>6960</v>
      </c>
      <c r="E2020">
        <v>112.778460502624</v>
      </c>
    </row>
    <row r="2021" spans="1:5" x14ac:dyDescent="0.25">
      <c r="A2021" t="s">
        <v>6</v>
      </c>
      <c r="B2021">
        <v>6</v>
      </c>
      <c r="C2021">
        <v>4.83332931995391E-2</v>
      </c>
      <c r="D2021">
        <v>7002</v>
      </c>
      <c r="E2021">
        <v>63.856369495391803</v>
      </c>
    </row>
    <row r="2022" spans="1:5" x14ac:dyDescent="0.25">
      <c r="A2022" t="s">
        <v>5</v>
      </c>
      <c r="B2022">
        <v>8</v>
      </c>
      <c r="C2022">
        <v>3.5583297212918599E-2</v>
      </c>
      <c r="D2022">
        <v>6960</v>
      </c>
      <c r="E2022">
        <v>112.287495374679</v>
      </c>
    </row>
    <row r="2023" spans="1:5" x14ac:dyDescent="0.25">
      <c r="A2023" t="s">
        <v>6</v>
      </c>
      <c r="B2023">
        <v>8</v>
      </c>
      <c r="C2023">
        <v>2.4333302776018698E-2</v>
      </c>
      <c r="D2023">
        <v>7002</v>
      </c>
      <c r="E2023">
        <v>63.970655441284102</v>
      </c>
    </row>
    <row r="2024" spans="1:5" x14ac:dyDescent="0.25">
      <c r="A2024" t="s">
        <v>5</v>
      </c>
      <c r="B2024">
        <v>9</v>
      </c>
      <c r="C2024">
        <v>2.05555289983749E-2</v>
      </c>
      <c r="D2024">
        <v>6960</v>
      </c>
      <c r="E2024">
        <v>111.617069244384</v>
      </c>
    </row>
    <row r="2025" spans="1:5" x14ac:dyDescent="0.25">
      <c r="A2025" t="s">
        <v>6</v>
      </c>
      <c r="B2025">
        <v>9</v>
      </c>
      <c r="C2025">
        <v>1.6666639447212198E-2</v>
      </c>
      <c r="D2025">
        <v>7002</v>
      </c>
      <c r="E2025">
        <v>63.720822095870901</v>
      </c>
    </row>
    <row r="2026" spans="1:5" x14ac:dyDescent="0.25">
      <c r="A2026" t="s">
        <v>5</v>
      </c>
      <c r="B2026">
        <v>10</v>
      </c>
      <c r="C2026">
        <v>1.23610951503117E-2</v>
      </c>
      <c r="D2026">
        <v>6960</v>
      </c>
      <c r="E2026">
        <v>111.730276823043</v>
      </c>
    </row>
    <row r="2027" spans="1:5" x14ac:dyDescent="0.25">
      <c r="A2027" t="s">
        <v>6</v>
      </c>
      <c r="B2027">
        <v>10</v>
      </c>
      <c r="C2027">
        <v>1.05277589956919E-2</v>
      </c>
      <c r="D2027">
        <v>7002</v>
      </c>
      <c r="E2027">
        <v>65.387591361999498</v>
      </c>
    </row>
    <row r="2028" spans="1:5" x14ac:dyDescent="0.25">
      <c r="A2028" t="s">
        <v>5</v>
      </c>
      <c r="B2028">
        <v>11</v>
      </c>
      <c r="C2028">
        <v>7.6111022631327298E-3</v>
      </c>
      <c r="D2028">
        <v>6960</v>
      </c>
      <c r="E2028">
        <v>111.566690444946</v>
      </c>
    </row>
    <row r="2029" spans="1:5" x14ac:dyDescent="0.25">
      <c r="A2029" t="s">
        <v>6</v>
      </c>
      <c r="B2029">
        <v>11</v>
      </c>
      <c r="C2029">
        <v>6.2222109238306601E-3</v>
      </c>
      <c r="D2029">
        <v>7002</v>
      </c>
      <c r="E2029">
        <v>63.971992969512897</v>
      </c>
    </row>
    <row r="2030" spans="1:5" x14ac:dyDescent="0.25">
      <c r="A2030" t="s">
        <v>5</v>
      </c>
      <c r="B2030">
        <v>12</v>
      </c>
      <c r="C2030">
        <v>1.80554846922556E-3</v>
      </c>
      <c r="D2030">
        <v>6960</v>
      </c>
      <c r="E2030">
        <v>128.42287206649701</v>
      </c>
    </row>
    <row r="2031" spans="1:5" x14ac:dyDescent="0.25">
      <c r="A2031" t="s">
        <v>6</v>
      </c>
      <c r="B2031">
        <v>12</v>
      </c>
      <c r="C2031">
        <v>2.1388777097066198E-3</v>
      </c>
      <c r="D2031">
        <v>7002</v>
      </c>
      <c r="E2031">
        <v>82.955489397048893</v>
      </c>
    </row>
    <row r="2032" spans="1:5" x14ac:dyDescent="0.25">
      <c r="A2032" t="s">
        <v>5</v>
      </c>
      <c r="B2032">
        <v>13</v>
      </c>
      <c r="C2032">
        <v>5.2777588367462097E-4</v>
      </c>
      <c r="D2032">
        <v>6960</v>
      </c>
      <c r="E2032">
        <v>128.24409198760901</v>
      </c>
    </row>
    <row r="2033" spans="1:5" x14ac:dyDescent="0.25">
      <c r="A2033" t="s">
        <v>6</v>
      </c>
      <c r="B2033">
        <v>13</v>
      </c>
      <c r="C2033">
        <v>1.24999245007832E-3</v>
      </c>
      <c r="D2033">
        <v>7002</v>
      </c>
      <c r="E2033">
        <v>82.572904348373399</v>
      </c>
    </row>
    <row r="2034" spans="1:5" x14ac:dyDescent="0.25">
      <c r="A2034" t="s">
        <v>5</v>
      </c>
      <c r="B2034">
        <v>14</v>
      </c>
      <c r="C2034">
        <v>2.8703649838765402E-4</v>
      </c>
      <c r="D2034">
        <v>6960</v>
      </c>
      <c r="E2034">
        <v>179.637178659439</v>
      </c>
    </row>
    <row r="2035" spans="1:5" x14ac:dyDescent="0.25">
      <c r="A2035" t="s">
        <v>6</v>
      </c>
      <c r="B2035">
        <v>14</v>
      </c>
      <c r="C2035">
        <v>3.5184979438781697E-4</v>
      </c>
      <c r="D2035">
        <v>7002</v>
      </c>
      <c r="E2035">
        <v>99.315849542617798</v>
      </c>
    </row>
    <row r="2036" spans="1:5" x14ac:dyDescent="0.25">
      <c r="A2036" t="s">
        <v>5</v>
      </c>
      <c r="B2036">
        <v>15</v>
      </c>
      <c r="C2036">
        <v>1.4814774195353101E-4</v>
      </c>
      <c r="D2036">
        <v>6960</v>
      </c>
      <c r="E2036">
        <v>600.93356299400295</v>
      </c>
    </row>
    <row r="2037" spans="1:5" x14ac:dyDescent="0.25">
      <c r="A2037" t="s">
        <v>6</v>
      </c>
      <c r="B2037">
        <v>15</v>
      </c>
      <c r="C2037">
        <v>1.11110607782999E-4</v>
      </c>
      <c r="D2037">
        <v>7002</v>
      </c>
      <c r="E2037">
        <v>129.66226768493601</v>
      </c>
    </row>
    <row r="2038" spans="1:5" x14ac:dyDescent="0.25">
      <c r="A2038" t="s">
        <v>5</v>
      </c>
      <c r="B2038">
        <v>16</v>
      </c>
      <c r="C2038" s="1">
        <v>3.7036935488382901E-5</v>
      </c>
      <c r="D2038">
        <v>6960</v>
      </c>
      <c r="E2038">
        <v>181.646251678466</v>
      </c>
    </row>
    <row r="2039" spans="1:5" x14ac:dyDescent="0.25">
      <c r="A2039" t="s">
        <v>6</v>
      </c>
      <c r="B2039">
        <v>16</v>
      </c>
      <c r="C2039" s="1">
        <v>1.8518368403116801E-5</v>
      </c>
      <c r="D2039">
        <v>7002</v>
      </c>
      <c r="E2039">
        <v>103.84235048294001</v>
      </c>
    </row>
    <row r="2040" spans="1:5" x14ac:dyDescent="0.25">
      <c r="A2040" t="s">
        <v>5</v>
      </c>
      <c r="B2040">
        <v>17</v>
      </c>
      <c r="C2040" s="1">
        <v>3.7036736806233697E-5</v>
      </c>
      <c r="D2040">
        <v>6960</v>
      </c>
      <c r="E2040">
        <v>299.68436670303299</v>
      </c>
    </row>
    <row r="2041" spans="1:5" x14ac:dyDescent="0.25">
      <c r="A2041" t="s">
        <v>6</v>
      </c>
      <c r="B2041">
        <v>17</v>
      </c>
      <c r="C2041" s="1">
        <v>1.8518368403116801E-5</v>
      </c>
      <c r="D2041">
        <v>7002</v>
      </c>
      <c r="E2041">
        <v>108.41199445724401</v>
      </c>
    </row>
    <row r="2042" spans="1:5" x14ac:dyDescent="0.25">
      <c r="A2042" t="s">
        <v>5</v>
      </c>
      <c r="B2042">
        <v>0</v>
      </c>
      <c r="C2042">
        <v>0.18911106785138401</v>
      </c>
      <c r="D2042">
        <v>6960</v>
      </c>
      <c r="E2042">
        <v>118.25102949142401</v>
      </c>
    </row>
    <row r="2043" spans="1:5" x14ac:dyDescent="0.25">
      <c r="A2043" t="s">
        <v>6</v>
      </c>
      <c r="B2043">
        <v>0</v>
      </c>
      <c r="C2043">
        <v>0.179527736504872</v>
      </c>
      <c r="D2043">
        <v>7002</v>
      </c>
      <c r="E2043">
        <v>64.381155014038001</v>
      </c>
    </row>
    <row r="2044" spans="1:5" x14ac:dyDescent="0.25">
      <c r="A2044" t="s">
        <v>5</v>
      </c>
      <c r="B2044">
        <v>1</v>
      </c>
      <c r="C2044">
        <v>0.16094440360864001</v>
      </c>
      <c r="D2044">
        <v>6960</v>
      </c>
      <c r="E2044">
        <v>112.756302356719</v>
      </c>
    </row>
    <row r="2045" spans="1:5" x14ac:dyDescent="0.25">
      <c r="A2045" t="s">
        <v>6</v>
      </c>
      <c r="B2045">
        <v>1</v>
      </c>
      <c r="C2045">
        <v>0.155166625976562</v>
      </c>
      <c r="D2045">
        <v>7002</v>
      </c>
      <c r="E2045">
        <v>64.106264591216998</v>
      </c>
    </row>
    <row r="2046" spans="1:5" x14ac:dyDescent="0.25">
      <c r="A2046" t="s">
        <v>5</v>
      </c>
      <c r="B2046">
        <v>2</v>
      </c>
      <c r="C2046">
        <v>0.14247218012809701</v>
      </c>
      <c r="D2046">
        <v>6960</v>
      </c>
      <c r="E2046">
        <v>112.06299853324801</v>
      </c>
    </row>
    <row r="2047" spans="1:5" x14ac:dyDescent="0.25">
      <c r="A2047" t="s">
        <v>6</v>
      </c>
      <c r="B2047">
        <v>2</v>
      </c>
      <c r="C2047">
        <v>0.132027736703554</v>
      </c>
      <c r="D2047">
        <v>7002</v>
      </c>
      <c r="E2047">
        <v>64.321829319000202</v>
      </c>
    </row>
    <row r="2048" spans="1:5" x14ac:dyDescent="0.25">
      <c r="A2048" t="s">
        <v>5</v>
      </c>
      <c r="B2048">
        <v>3</v>
      </c>
      <c r="C2048">
        <v>0.119027738968531</v>
      </c>
      <c r="D2048">
        <v>6960</v>
      </c>
      <c r="E2048">
        <v>113.310872554779</v>
      </c>
    </row>
    <row r="2049" spans="1:5" x14ac:dyDescent="0.25">
      <c r="A2049" t="s">
        <v>6</v>
      </c>
      <c r="B2049">
        <v>3</v>
      </c>
      <c r="C2049">
        <v>0.108361068169275</v>
      </c>
      <c r="D2049">
        <v>7002</v>
      </c>
      <c r="E2049">
        <v>63.538430690765303</v>
      </c>
    </row>
    <row r="2050" spans="1:5" x14ac:dyDescent="0.25">
      <c r="A2050" t="s">
        <v>5</v>
      </c>
      <c r="B2050">
        <v>4</v>
      </c>
      <c r="C2050">
        <v>0.10241662502288799</v>
      </c>
      <c r="D2050">
        <v>6960</v>
      </c>
      <c r="E2050">
        <v>115.66666483879</v>
      </c>
    </row>
    <row r="2051" spans="1:5" x14ac:dyDescent="0.25">
      <c r="A2051" t="s">
        <v>6</v>
      </c>
      <c r="B2051">
        <v>4</v>
      </c>
      <c r="C2051">
        <v>8.4694402019182796E-2</v>
      </c>
      <c r="D2051">
        <v>7002</v>
      </c>
      <c r="E2051">
        <v>65.200259685516301</v>
      </c>
    </row>
    <row r="2052" spans="1:5" x14ac:dyDescent="0.25">
      <c r="A2052" t="s">
        <v>5</v>
      </c>
      <c r="B2052">
        <v>5</v>
      </c>
      <c r="C2052">
        <v>8.1944402456283497E-2</v>
      </c>
      <c r="D2052">
        <v>6960</v>
      </c>
      <c r="E2052">
        <v>120.374562740325</v>
      </c>
    </row>
    <row r="2053" spans="1:5" x14ac:dyDescent="0.25">
      <c r="A2053" t="s">
        <v>6</v>
      </c>
      <c r="B2053">
        <v>5</v>
      </c>
      <c r="C2053">
        <v>6.7777733802795406E-2</v>
      </c>
      <c r="D2053">
        <v>7002</v>
      </c>
      <c r="E2053">
        <v>70.163573980331407</v>
      </c>
    </row>
    <row r="2054" spans="1:5" x14ac:dyDescent="0.25">
      <c r="A2054" t="s">
        <v>5</v>
      </c>
      <c r="B2054">
        <v>6</v>
      </c>
      <c r="C2054">
        <v>6.5611069003740904E-2</v>
      </c>
      <c r="D2054">
        <v>6960</v>
      </c>
      <c r="E2054">
        <v>116.497213602066</v>
      </c>
    </row>
    <row r="2055" spans="1:5" x14ac:dyDescent="0.25">
      <c r="A2055" t="s">
        <v>6</v>
      </c>
      <c r="B2055">
        <v>6</v>
      </c>
      <c r="C2055">
        <v>4.8694403568903602E-2</v>
      </c>
      <c r="D2055">
        <v>7002</v>
      </c>
      <c r="E2055">
        <v>67.171122074127197</v>
      </c>
    </row>
    <row r="2056" spans="1:5" x14ac:dyDescent="0.25">
      <c r="A2056" t="s">
        <v>5</v>
      </c>
      <c r="B2056">
        <v>8</v>
      </c>
      <c r="C2056">
        <v>3.2333297332127801E-2</v>
      </c>
      <c r="D2056">
        <v>6960</v>
      </c>
      <c r="E2056">
        <v>117.22661614418</v>
      </c>
    </row>
    <row r="2057" spans="1:5" x14ac:dyDescent="0.25">
      <c r="A2057" t="s">
        <v>6</v>
      </c>
      <c r="B2057">
        <v>8</v>
      </c>
      <c r="C2057">
        <v>2.5722190936406399E-2</v>
      </c>
      <c r="D2057">
        <v>7002</v>
      </c>
      <c r="E2057">
        <v>64.102054834365802</v>
      </c>
    </row>
    <row r="2058" spans="1:5" x14ac:dyDescent="0.25">
      <c r="A2058" t="s">
        <v>5</v>
      </c>
      <c r="B2058">
        <v>9</v>
      </c>
      <c r="C2058">
        <v>2.3999970952669699E-2</v>
      </c>
      <c r="D2058">
        <v>6960</v>
      </c>
      <c r="E2058">
        <v>112.719890832901</v>
      </c>
    </row>
    <row r="2059" spans="1:5" x14ac:dyDescent="0.25">
      <c r="A2059" t="s">
        <v>6</v>
      </c>
      <c r="B2059">
        <v>9</v>
      </c>
      <c r="C2059">
        <v>1.4833310047785399E-2</v>
      </c>
      <c r="D2059">
        <v>7002</v>
      </c>
      <c r="E2059">
        <v>64.070623159408498</v>
      </c>
    </row>
    <row r="2060" spans="1:5" x14ac:dyDescent="0.25">
      <c r="A2060" t="s">
        <v>5</v>
      </c>
      <c r="B2060">
        <v>10</v>
      </c>
      <c r="C2060">
        <v>1.23888713121414E-2</v>
      </c>
      <c r="D2060">
        <v>6960</v>
      </c>
      <c r="E2060">
        <v>113.073465824127</v>
      </c>
    </row>
    <row r="2061" spans="1:5" x14ac:dyDescent="0.25">
      <c r="A2061" t="s">
        <v>6</v>
      </c>
      <c r="B2061">
        <v>10</v>
      </c>
      <c r="C2061">
        <v>9.3333166837692196E-3</v>
      </c>
      <c r="D2061">
        <v>7002</v>
      </c>
      <c r="E2061">
        <v>63.836595058441098</v>
      </c>
    </row>
    <row r="2062" spans="1:5" x14ac:dyDescent="0.25">
      <c r="A2062" t="s">
        <v>5</v>
      </c>
      <c r="B2062">
        <v>11</v>
      </c>
      <c r="C2062">
        <v>5.4999899864196702E-3</v>
      </c>
      <c r="D2062">
        <v>6960</v>
      </c>
      <c r="E2062">
        <v>112.28660035133301</v>
      </c>
    </row>
    <row r="2063" spans="1:5" x14ac:dyDescent="0.25">
      <c r="A2063" t="s">
        <v>6</v>
      </c>
      <c r="B2063">
        <v>11</v>
      </c>
      <c r="C2063">
        <v>5.7222100098927803E-3</v>
      </c>
      <c r="D2063">
        <v>7002</v>
      </c>
      <c r="E2063">
        <v>63.999721050262401</v>
      </c>
    </row>
    <row r="2064" spans="1:5" x14ac:dyDescent="0.25">
      <c r="A2064" t="s">
        <v>5</v>
      </c>
      <c r="B2064">
        <v>12</v>
      </c>
      <c r="C2064">
        <v>2.8888777891794802E-3</v>
      </c>
      <c r="D2064">
        <v>6960</v>
      </c>
      <c r="E2064">
        <v>127.797597885131</v>
      </c>
    </row>
    <row r="2065" spans="1:5" x14ac:dyDescent="0.25">
      <c r="A2065" t="s">
        <v>6</v>
      </c>
      <c r="B2065">
        <v>12</v>
      </c>
      <c r="C2065">
        <v>1.6666581233342401E-3</v>
      </c>
      <c r="D2065">
        <v>7002</v>
      </c>
      <c r="E2065">
        <v>82.698881626129094</v>
      </c>
    </row>
    <row r="2066" spans="1:5" x14ac:dyDescent="0.25">
      <c r="A2066" t="s">
        <v>5</v>
      </c>
      <c r="B2066">
        <v>13</v>
      </c>
      <c r="C2066">
        <v>9.58329637845357E-4</v>
      </c>
      <c r="D2066">
        <v>6960</v>
      </c>
      <c r="E2066">
        <v>127.950422525405</v>
      </c>
    </row>
    <row r="2067" spans="1:5" x14ac:dyDescent="0.25">
      <c r="A2067" t="s">
        <v>6</v>
      </c>
      <c r="B2067">
        <v>13</v>
      </c>
      <c r="C2067">
        <v>1.09721620877583E-3</v>
      </c>
      <c r="D2067">
        <v>7002</v>
      </c>
      <c r="E2067">
        <v>83.435526847839299</v>
      </c>
    </row>
    <row r="2068" spans="1:5" x14ac:dyDescent="0.25">
      <c r="A2068" t="s">
        <v>5</v>
      </c>
      <c r="B2068">
        <v>14</v>
      </c>
      <c r="C2068">
        <v>2.8703649838765402E-4</v>
      </c>
      <c r="D2068">
        <v>6960</v>
      </c>
      <c r="E2068">
        <v>183.73937678337001</v>
      </c>
    </row>
    <row r="2069" spans="1:5" x14ac:dyDescent="0.25">
      <c r="A2069" t="s">
        <v>6</v>
      </c>
      <c r="B2069">
        <v>14</v>
      </c>
      <c r="C2069">
        <v>3.0555387338002501E-4</v>
      </c>
      <c r="D2069">
        <v>7002</v>
      </c>
      <c r="E2069">
        <v>102.68828892707801</v>
      </c>
    </row>
    <row r="2070" spans="1:5" x14ac:dyDescent="0.25">
      <c r="A2070" t="s">
        <v>5</v>
      </c>
      <c r="B2070">
        <v>15</v>
      </c>
      <c r="C2070">
        <v>1.2036999066670701E-4</v>
      </c>
      <c r="D2070">
        <v>6960</v>
      </c>
      <c r="E2070">
        <v>243.983366250991</v>
      </c>
    </row>
    <row r="2071" spans="1:5" x14ac:dyDescent="0.25">
      <c r="A2071" t="s">
        <v>6</v>
      </c>
      <c r="B2071">
        <v>15</v>
      </c>
      <c r="C2071">
        <v>2.7777651945749902E-4</v>
      </c>
      <c r="D2071">
        <v>7002</v>
      </c>
      <c r="E2071">
        <v>105.786471843719</v>
      </c>
    </row>
    <row r="2072" spans="1:5" x14ac:dyDescent="0.25">
      <c r="A2072" t="s">
        <v>5</v>
      </c>
      <c r="B2072">
        <v>16</v>
      </c>
      <c r="C2072">
        <v>1.11110806465148E-4</v>
      </c>
      <c r="D2072">
        <v>6960</v>
      </c>
      <c r="E2072">
        <v>176.90576171875</v>
      </c>
    </row>
    <row r="2073" spans="1:5" x14ac:dyDescent="0.25">
      <c r="A2073" t="s">
        <v>6</v>
      </c>
      <c r="B2073">
        <v>16</v>
      </c>
      <c r="C2073" s="1">
        <v>6.4814488093058206E-5</v>
      </c>
      <c r="D2073">
        <v>7002</v>
      </c>
      <c r="E2073">
        <v>108.783835887908</v>
      </c>
    </row>
    <row r="2074" spans="1:5" x14ac:dyDescent="0.25">
      <c r="A2074" t="s">
        <v>5</v>
      </c>
      <c r="B2074">
        <v>17</v>
      </c>
      <c r="C2074" s="1">
        <v>2.7777751286824498E-5</v>
      </c>
      <c r="D2074">
        <v>6960</v>
      </c>
      <c r="E2074">
        <v>198.05621218681301</v>
      </c>
    </row>
    <row r="2075" spans="1:5" x14ac:dyDescent="0.25">
      <c r="A2075" t="s">
        <v>6</v>
      </c>
      <c r="B2075">
        <v>17</v>
      </c>
      <c r="C2075" s="1">
        <v>3.7036736806233697E-5</v>
      </c>
      <c r="D2075">
        <v>7002</v>
      </c>
      <c r="E2075">
        <v>100.519503116607</v>
      </c>
    </row>
    <row r="2076" spans="1:5" x14ac:dyDescent="0.25">
      <c r="A2076" t="s">
        <v>5</v>
      </c>
      <c r="B2076">
        <v>0</v>
      </c>
      <c r="C2076">
        <v>0.18730551342169399</v>
      </c>
      <c r="D2076">
        <v>6960</v>
      </c>
      <c r="E2076">
        <v>114.74492025375299</v>
      </c>
    </row>
    <row r="2077" spans="1:5" x14ac:dyDescent="0.25">
      <c r="A2077" t="s">
        <v>6</v>
      </c>
      <c r="B2077">
        <v>0</v>
      </c>
      <c r="C2077">
        <v>0.180722181995709</v>
      </c>
      <c r="D2077">
        <v>7002</v>
      </c>
      <c r="E2077">
        <v>63.406928300857501</v>
      </c>
    </row>
    <row r="2078" spans="1:5" x14ac:dyDescent="0.25">
      <c r="A2078" t="s">
        <v>5</v>
      </c>
      <c r="B2078">
        <v>1</v>
      </c>
      <c r="C2078">
        <v>0.165027735630671</v>
      </c>
      <c r="D2078">
        <v>6960</v>
      </c>
      <c r="E2078">
        <v>111.708073854446</v>
      </c>
    </row>
    <row r="2079" spans="1:5" x14ac:dyDescent="0.25">
      <c r="A2079" t="s">
        <v>6</v>
      </c>
      <c r="B2079">
        <v>1</v>
      </c>
      <c r="C2079">
        <v>0.15602773567040701</v>
      </c>
      <c r="D2079">
        <v>7002</v>
      </c>
      <c r="E2079">
        <v>63.391286849975501</v>
      </c>
    </row>
    <row r="2080" spans="1:5" x14ac:dyDescent="0.25">
      <c r="A2080" t="s">
        <v>5</v>
      </c>
      <c r="B2080">
        <v>2</v>
      </c>
      <c r="C2080">
        <v>0.14055551449457801</v>
      </c>
      <c r="D2080">
        <v>6960</v>
      </c>
      <c r="E2080">
        <v>111.879921436309</v>
      </c>
    </row>
    <row r="2081" spans="1:5" x14ac:dyDescent="0.25">
      <c r="A2081" t="s">
        <v>6</v>
      </c>
      <c r="B2081">
        <v>2</v>
      </c>
      <c r="C2081">
        <v>0.13261106967926001</v>
      </c>
      <c r="D2081">
        <v>7002</v>
      </c>
      <c r="E2081">
        <v>63.563130855560303</v>
      </c>
    </row>
    <row r="2082" spans="1:5" x14ac:dyDescent="0.25">
      <c r="A2082" t="s">
        <v>5</v>
      </c>
      <c r="B2082">
        <v>3</v>
      </c>
      <c r="C2082">
        <v>0.122444403370221</v>
      </c>
      <c r="D2082">
        <v>6960</v>
      </c>
      <c r="E2082">
        <v>111.926749706268</v>
      </c>
    </row>
    <row r="2083" spans="1:5" x14ac:dyDescent="0.25">
      <c r="A2083" t="s">
        <v>6</v>
      </c>
      <c r="B2083">
        <v>3</v>
      </c>
      <c r="C2083">
        <v>0.11016662438710501</v>
      </c>
      <c r="D2083">
        <v>7002</v>
      </c>
      <c r="E2083">
        <v>63.1413960456848</v>
      </c>
    </row>
    <row r="2084" spans="1:5" x14ac:dyDescent="0.25">
      <c r="A2084" t="s">
        <v>5</v>
      </c>
      <c r="B2084">
        <v>4</v>
      </c>
      <c r="C2084">
        <v>0.10027773519357</v>
      </c>
      <c r="D2084">
        <v>6960</v>
      </c>
      <c r="E2084">
        <v>111.973536014556</v>
      </c>
    </row>
    <row r="2085" spans="1:5" x14ac:dyDescent="0.25">
      <c r="A2085" t="s">
        <v>6</v>
      </c>
      <c r="B2085">
        <v>4</v>
      </c>
      <c r="C2085">
        <v>8.6416623592376701E-2</v>
      </c>
      <c r="D2085">
        <v>7002</v>
      </c>
      <c r="E2085">
        <v>63.266355037689202</v>
      </c>
    </row>
    <row r="2086" spans="1:5" x14ac:dyDescent="0.25">
      <c r="A2086" t="s">
        <v>5</v>
      </c>
      <c r="B2086">
        <v>5</v>
      </c>
      <c r="C2086">
        <v>7.9499956766764301E-2</v>
      </c>
      <c r="D2086">
        <v>6960</v>
      </c>
      <c r="E2086">
        <v>111.69242739677399</v>
      </c>
    </row>
    <row r="2087" spans="1:5" x14ac:dyDescent="0.25">
      <c r="A2087" t="s">
        <v>6</v>
      </c>
      <c r="B2087">
        <v>5</v>
      </c>
      <c r="C2087">
        <v>6.4749956528345698E-2</v>
      </c>
      <c r="D2087">
        <v>7002</v>
      </c>
      <c r="E2087">
        <v>63.625744819641099</v>
      </c>
    </row>
    <row r="2088" spans="1:5" x14ac:dyDescent="0.25">
      <c r="A2088" t="s">
        <v>5</v>
      </c>
      <c r="B2088">
        <v>6</v>
      </c>
      <c r="C2088">
        <v>6.0027735233306803E-2</v>
      </c>
      <c r="D2088">
        <v>6960</v>
      </c>
      <c r="E2088">
        <v>111.317522525787</v>
      </c>
    </row>
    <row r="2089" spans="1:5" x14ac:dyDescent="0.25">
      <c r="A2089" t="s">
        <v>6</v>
      </c>
      <c r="B2089">
        <v>6</v>
      </c>
      <c r="C2089">
        <v>5.0999957521756401E-2</v>
      </c>
      <c r="D2089">
        <v>7002</v>
      </c>
      <c r="E2089">
        <v>63.3600621223449</v>
      </c>
    </row>
    <row r="2090" spans="1:5" x14ac:dyDescent="0.25">
      <c r="A2090" t="s">
        <v>5</v>
      </c>
      <c r="B2090">
        <v>8</v>
      </c>
      <c r="C2090">
        <v>3.4222187201182003E-2</v>
      </c>
      <c r="D2090">
        <v>6960</v>
      </c>
      <c r="E2090">
        <v>112.082960605621</v>
      </c>
    </row>
    <row r="2091" spans="1:5" x14ac:dyDescent="0.25">
      <c r="A2091" t="s">
        <v>6</v>
      </c>
      <c r="B2091">
        <v>8</v>
      </c>
      <c r="C2091">
        <v>2.3638857603073101E-2</v>
      </c>
      <c r="D2091">
        <v>7002</v>
      </c>
      <c r="E2091">
        <v>63.2195048332214</v>
      </c>
    </row>
    <row r="2092" spans="1:5" x14ac:dyDescent="0.25">
      <c r="A2092" t="s">
        <v>5</v>
      </c>
      <c r="B2092">
        <v>9</v>
      </c>
      <c r="C2092">
        <v>2.2416639526685E-2</v>
      </c>
      <c r="D2092">
        <v>6960</v>
      </c>
      <c r="E2092">
        <v>111.926774740219</v>
      </c>
    </row>
    <row r="2093" spans="1:5" x14ac:dyDescent="0.25">
      <c r="A2093" t="s">
        <v>6</v>
      </c>
      <c r="B2093">
        <v>9</v>
      </c>
      <c r="C2093">
        <v>1.7861084739367102E-2</v>
      </c>
      <c r="D2093">
        <v>7002</v>
      </c>
      <c r="E2093">
        <v>63.1726360321044</v>
      </c>
    </row>
    <row r="2094" spans="1:5" x14ac:dyDescent="0.25">
      <c r="A2094" t="s">
        <v>5</v>
      </c>
      <c r="B2094">
        <v>10</v>
      </c>
      <c r="C2094">
        <v>1.34166498978932E-2</v>
      </c>
      <c r="D2094">
        <v>6960</v>
      </c>
      <c r="E2094">
        <v>111.801776885986</v>
      </c>
    </row>
    <row r="2095" spans="1:5" x14ac:dyDescent="0.25">
      <c r="A2095" t="s">
        <v>6</v>
      </c>
      <c r="B2095">
        <v>10</v>
      </c>
      <c r="C2095">
        <v>7.0833208163579298E-3</v>
      </c>
      <c r="D2095">
        <v>7002</v>
      </c>
      <c r="E2095">
        <v>63.688166856765697</v>
      </c>
    </row>
    <row r="2096" spans="1:5" x14ac:dyDescent="0.25">
      <c r="A2096" t="s">
        <v>5</v>
      </c>
      <c r="B2096">
        <v>11</v>
      </c>
      <c r="C2096">
        <v>5.88887969652811E-3</v>
      </c>
      <c r="D2096">
        <v>6960</v>
      </c>
      <c r="E2096">
        <v>111.848681926727</v>
      </c>
    </row>
    <row r="2097" spans="1:5" x14ac:dyDescent="0.25">
      <c r="A2097" t="s">
        <v>6</v>
      </c>
      <c r="B2097">
        <v>11</v>
      </c>
      <c r="C2097">
        <v>5.4444338877995798E-3</v>
      </c>
      <c r="D2097">
        <v>7002</v>
      </c>
      <c r="E2097">
        <v>63.3131680488586</v>
      </c>
    </row>
    <row r="2098" spans="1:5" x14ac:dyDescent="0.25">
      <c r="A2098" t="s">
        <v>5</v>
      </c>
      <c r="B2098">
        <v>12</v>
      </c>
      <c r="C2098">
        <v>2.48609960079193E-3</v>
      </c>
      <c r="D2098">
        <v>6960</v>
      </c>
      <c r="E2098">
        <v>127.501196622848</v>
      </c>
    </row>
    <row r="2099" spans="1:5" x14ac:dyDescent="0.25">
      <c r="A2099" t="s">
        <v>6</v>
      </c>
      <c r="B2099">
        <v>12</v>
      </c>
      <c r="C2099">
        <v>3.7222051620483302E-3</v>
      </c>
      <c r="D2099">
        <v>7002</v>
      </c>
      <c r="E2099">
        <v>81.840137958526597</v>
      </c>
    </row>
    <row r="2100" spans="1:5" x14ac:dyDescent="0.25">
      <c r="A2100" t="s">
        <v>5</v>
      </c>
      <c r="B2100">
        <v>13</v>
      </c>
      <c r="C2100">
        <v>7.9166372617085702E-4</v>
      </c>
      <c r="D2100">
        <v>6960</v>
      </c>
      <c r="E2100">
        <v>126.970077514648</v>
      </c>
    </row>
    <row r="2101" spans="1:5" x14ac:dyDescent="0.25">
      <c r="A2101" t="s">
        <v>6</v>
      </c>
      <c r="B2101">
        <v>13</v>
      </c>
      <c r="C2101">
        <v>7.2221815586089998E-4</v>
      </c>
      <c r="D2101">
        <v>7002</v>
      </c>
      <c r="E2101">
        <v>82.230621814727698</v>
      </c>
    </row>
    <row r="2102" spans="1:5" x14ac:dyDescent="0.25">
      <c r="A2102" t="s">
        <v>5</v>
      </c>
      <c r="B2102">
        <v>14</v>
      </c>
      <c r="C2102">
        <v>2.2222121556599901E-4</v>
      </c>
      <c r="D2102">
        <v>6960</v>
      </c>
      <c r="E2102">
        <v>175.17746663093499</v>
      </c>
    </row>
    <row r="2103" spans="1:5" x14ac:dyDescent="0.25">
      <c r="A2103" t="s">
        <v>6</v>
      </c>
      <c r="B2103">
        <v>14</v>
      </c>
      <c r="C2103">
        <v>6.0184915860493897E-4</v>
      </c>
      <c r="D2103">
        <v>7002</v>
      </c>
      <c r="E2103">
        <v>97.461429834365802</v>
      </c>
    </row>
    <row r="2104" spans="1:5" x14ac:dyDescent="0.25">
      <c r="A2104" t="s">
        <v>5</v>
      </c>
      <c r="B2104">
        <v>15</v>
      </c>
      <c r="C2104">
        <v>1.3888875643412201E-4</v>
      </c>
      <c r="D2104">
        <v>6960</v>
      </c>
      <c r="E2104">
        <v>169.194419384002</v>
      </c>
    </row>
    <row r="2105" spans="1:5" x14ac:dyDescent="0.25">
      <c r="A2105" t="s">
        <v>6</v>
      </c>
      <c r="B2105">
        <v>15</v>
      </c>
      <c r="C2105">
        <v>1.01851423581441E-4</v>
      </c>
      <c r="D2105">
        <v>7002</v>
      </c>
      <c r="E2105">
        <v>99.148509025573702</v>
      </c>
    </row>
    <row r="2106" spans="1:5" x14ac:dyDescent="0.25">
      <c r="A2106" t="s">
        <v>5</v>
      </c>
      <c r="B2106">
        <v>16</v>
      </c>
      <c r="C2106" s="1">
        <v>2.7777751286824498E-5</v>
      </c>
      <c r="D2106">
        <v>6960</v>
      </c>
      <c r="E2106">
        <v>165.007988214492</v>
      </c>
    </row>
    <row r="2107" spans="1:5" x14ac:dyDescent="0.25">
      <c r="A2107" t="s">
        <v>6</v>
      </c>
      <c r="B2107">
        <v>16</v>
      </c>
      <c r="C2107">
        <v>1.11110607782999E-4</v>
      </c>
      <c r="D2107">
        <v>7002</v>
      </c>
      <c r="E2107">
        <v>97.638286352157493</v>
      </c>
    </row>
    <row r="2108" spans="1:5" x14ac:dyDescent="0.25">
      <c r="A2108" t="s">
        <v>5</v>
      </c>
      <c r="B2108">
        <v>17</v>
      </c>
      <c r="C2108">
        <v>0</v>
      </c>
      <c r="D2108">
        <v>6960</v>
      </c>
      <c r="E2108">
        <v>164.351890802383</v>
      </c>
    </row>
    <row r="2109" spans="1:5" x14ac:dyDescent="0.25">
      <c r="A2109" t="s">
        <v>6</v>
      </c>
      <c r="B2109">
        <v>17</v>
      </c>
      <c r="C2109">
        <v>0</v>
      </c>
      <c r="D2109">
        <v>7002</v>
      </c>
      <c r="E2109">
        <v>97.5863773822784</v>
      </c>
    </row>
    <row r="2110" spans="1:5" x14ac:dyDescent="0.25">
      <c r="A2110" t="s">
        <v>5</v>
      </c>
      <c r="B2110">
        <v>0</v>
      </c>
      <c r="C2110">
        <v>0.18663884560267099</v>
      </c>
      <c r="D2110">
        <v>6960</v>
      </c>
      <c r="E2110">
        <v>112.145440101623</v>
      </c>
    </row>
    <row r="2111" spans="1:5" x14ac:dyDescent="0.25">
      <c r="A2111" t="s">
        <v>6</v>
      </c>
      <c r="B2111">
        <v>0</v>
      </c>
      <c r="C2111">
        <v>0.181777735948562</v>
      </c>
      <c r="D2111">
        <v>7002</v>
      </c>
      <c r="E2111">
        <v>63.719330549240098</v>
      </c>
    </row>
    <row r="2112" spans="1:5" x14ac:dyDescent="0.25">
      <c r="A2112" t="s">
        <v>5</v>
      </c>
      <c r="B2112">
        <v>1</v>
      </c>
      <c r="C2112">
        <v>0.16386106967926001</v>
      </c>
      <c r="D2112">
        <v>6960</v>
      </c>
      <c r="E2112">
        <v>112.926507949829</v>
      </c>
    </row>
    <row r="2113" spans="1:5" x14ac:dyDescent="0.25">
      <c r="A2113" t="s">
        <v>6</v>
      </c>
      <c r="B2113">
        <v>1</v>
      </c>
      <c r="C2113">
        <v>0.15886107027530599</v>
      </c>
      <c r="D2113">
        <v>7002</v>
      </c>
      <c r="E2113">
        <v>63.438202857971099</v>
      </c>
    </row>
    <row r="2114" spans="1:5" x14ac:dyDescent="0.25">
      <c r="A2114" t="s">
        <v>5</v>
      </c>
      <c r="B2114">
        <v>2</v>
      </c>
      <c r="C2114">
        <v>0.13888884703318199</v>
      </c>
      <c r="D2114">
        <v>6960</v>
      </c>
      <c r="E2114">
        <v>111.848641633987</v>
      </c>
    </row>
    <row r="2115" spans="1:5" x14ac:dyDescent="0.25">
      <c r="A2115" t="s">
        <v>6</v>
      </c>
      <c r="B2115">
        <v>2</v>
      </c>
      <c r="C2115">
        <v>0.131527736584345</v>
      </c>
      <c r="D2115">
        <v>7002</v>
      </c>
      <c r="E2115">
        <v>63.328855514526303</v>
      </c>
    </row>
    <row r="2116" spans="1:5" x14ac:dyDescent="0.25">
      <c r="A2116" t="s">
        <v>5</v>
      </c>
      <c r="B2116">
        <v>3</v>
      </c>
      <c r="C2116">
        <v>0.11949995954831399</v>
      </c>
      <c r="D2116">
        <v>6960</v>
      </c>
      <c r="E2116">
        <v>111.536215543746</v>
      </c>
    </row>
    <row r="2117" spans="1:5" x14ac:dyDescent="0.25">
      <c r="A2117" t="s">
        <v>6</v>
      </c>
      <c r="B2117">
        <v>3</v>
      </c>
      <c r="C2117">
        <v>0.109388845562934</v>
      </c>
      <c r="D2117">
        <v>7002</v>
      </c>
      <c r="E2117">
        <v>63.453795671462998</v>
      </c>
    </row>
    <row r="2118" spans="1:5" x14ac:dyDescent="0.25">
      <c r="A2118" t="s">
        <v>5</v>
      </c>
      <c r="B2118">
        <v>4</v>
      </c>
      <c r="C2118">
        <v>9.8277733723322505E-2</v>
      </c>
      <c r="D2118">
        <v>6960</v>
      </c>
      <c r="E2118">
        <v>112.020475387573</v>
      </c>
    </row>
    <row r="2119" spans="1:5" x14ac:dyDescent="0.25">
      <c r="A2119" t="s">
        <v>6</v>
      </c>
      <c r="B2119">
        <v>4</v>
      </c>
      <c r="C2119">
        <v>8.6444400946299196E-2</v>
      </c>
      <c r="D2119">
        <v>7002</v>
      </c>
      <c r="E2119">
        <v>63.344475269317599</v>
      </c>
    </row>
    <row r="2120" spans="1:5" x14ac:dyDescent="0.25">
      <c r="A2120" t="s">
        <v>5</v>
      </c>
      <c r="B2120">
        <v>5</v>
      </c>
      <c r="C2120">
        <v>8.0611066818237306E-2</v>
      </c>
      <c r="D2120">
        <v>6960</v>
      </c>
      <c r="E2120">
        <v>111.723565340042</v>
      </c>
    </row>
    <row r="2121" spans="1:5" x14ac:dyDescent="0.25">
      <c r="A2121" t="s">
        <v>6</v>
      </c>
      <c r="B2121">
        <v>5</v>
      </c>
      <c r="C2121">
        <v>6.7527733842531801E-2</v>
      </c>
      <c r="D2121">
        <v>7002</v>
      </c>
      <c r="E2121">
        <v>63.141398429870598</v>
      </c>
    </row>
    <row r="2122" spans="1:5" x14ac:dyDescent="0.25">
      <c r="A2122" t="s">
        <v>5</v>
      </c>
      <c r="B2122">
        <v>6</v>
      </c>
      <c r="C2122">
        <v>6.1972179611523903E-2</v>
      </c>
      <c r="D2122">
        <v>6960</v>
      </c>
      <c r="E2122">
        <v>111.833019733428</v>
      </c>
    </row>
    <row r="2123" spans="1:5" x14ac:dyDescent="0.25">
      <c r="A2123" t="s">
        <v>6</v>
      </c>
      <c r="B2123">
        <v>6</v>
      </c>
      <c r="C2123">
        <v>4.72221811612447E-2</v>
      </c>
      <c r="D2123">
        <v>7002</v>
      </c>
      <c r="E2123">
        <v>63.5475461483001</v>
      </c>
    </row>
    <row r="2124" spans="1:5" x14ac:dyDescent="0.25">
      <c r="A2124" t="s">
        <v>5</v>
      </c>
      <c r="B2124">
        <v>8</v>
      </c>
      <c r="C2124">
        <v>3.4527742067972801E-2</v>
      </c>
      <c r="D2124">
        <v>6960</v>
      </c>
      <c r="E2124">
        <v>112.05169558525</v>
      </c>
    </row>
    <row r="2125" spans="1:5" x14ac:dyDescent="0.25">
      <c r="A2125" t="s">
        <v>6</v>
      </c>
      <c r="B2125">
        <v>8</v>
      </c>
      <c r="C2125">
        <v>2.5416632493336901E-2</v>
      </c>
      <c r="D2125">
        <v>7002</v>
      </c>
      <c r="E2125">
        <v>63.531902551651001</v>
      </c>
    </row>
    <row r="2126" spans="1:5" x14ac:dyDescent="0.25">
      <c r="A2126" t="s">
        <v>5</v>
      </c>
      <c r="B2126">
        <v>9</v>
      </c>
      <c r="C2126">
        <v>2.2333306868871E-2</v>
      </c>
      <c r="D2126">
        <v>6960</v>
      </c>
      <c r="E2126">
        <v>112.114121437072</v>
      </c>
    </row>
    <row r="2127" spans="1:5" x14ac:dyDescent="0.25">
      <c r="A2127" t="s">
        <v>6</v>
      </c>
      <c r="B2127">
        <v>9</v>
      </c>
      <c r="C2127">
        <v>1.6444419423739101E-2</v>
      </c>
      <c r="D2127">
        <v>7002</v>
      </c>
      <c r="E2127">
        <v>63.625630617141702</v>
      </c>
    </row>
    <row r="2128" spans="1:5" x14ac:dyDescent="0.25">
      <c r="A2128" t="s">
        <v>5</v>
      </c>
      <c r="B2128">
        <v>10</v>
      </c>
      <c r="C2128">
        <v>1.2361095547676001E-2</v>
      </c>
      <c r="D2128">
        <v>6960</v>
      </c>
      <c r="E2128">
        <v>112.03602528572</v>
      </c>
    </row>
    <row r="2129" spans="1:5" x14ac:dyDescent="0.25">
      <c r="A2129" t="s">
        <v>6</v>
      </c>
      <c r="B2129">
        <v>10</v>
      </c>
      <c r="C2129">
        <v>9.6388719479242897E-3</v>
      </c>
      <c r="D2129">
        <v>7002</v>
      </c>
      <c r="E2129">
        <v>63.266332864761303</v>
      </c>
    </row>
    <row r="2130" spans="1:5" x14ac:dyDescent="0.25">
      <c r="A2130" t="s">
        <v>5</v>
      </c>
      <c r="B2130">
        <v>11</v>
      </c>
      <c r="C2130">
        <v>6.9999923308690301E-3</v>
      </c>
      <c r="D2130">
        <v>6960</v>
      </c>
      <c r="E2130">
        <v>112.457872629165</v>
      </c>
    </row>
    <row r="2131" spans="1:5" x14ac:dyDescent="0.25">
      <c r="A2131" t="s">
        <v>6</v>
      </c>
      <c r="B2131">
        <v>11</v>
      </c>
      <c r="C2131">
        <v>4.7222125530242904E-3</v>
      </c>
      <c r="D2131">
        <v>7002</v>
      </c>
      <c r="E2131">
        <v>63.766192197799597</v>
      </c>
    </row>
    <row r="2132" spans="1:5" x14ac:dyDescent="0.25">
      <c r="A2132" t="s">
        <v>5</v>
      </c>
      <c r="B2132">
        <v>12</v>
      </c>
      <c r="C2132">
        <v>1.9305485486984201E-3</v>
      </c>
      <c r="D2132">
        <v>6960</v>
      </c>
      <c r="E2132">
        <v>127.00131940841599</v>
      </c>
    </row>
    <row r="2133" spans="1:5" x14ac:dyDescent="0.25">
      <c r="A2133" t="s">
        <v>6</v>
      </c>
      <c r="B2133">
        <v>12</v>
      </c>
      <c r="C2133">
        <v>2.7777628103892002E-3</v>
      </c>
      <c r="D2133">
        <v>7002</v>
      </c>
      <c r="E2133">
        <v>81.588099002838106</v>
      </c>
    </row>
    <row r="2134" spans="1:5" x14ac:dyDescent="0.25">
      <c r="A2134" t="s">
        <v>5</v>
      </c>
      <c r="B2134">
        <v>13</v>
      </c>
      <c r="C2134">
        <v>9.861081838607789E-4</v>
      </c>
      <c r="D2134">
        <v>6960</v>
      </c>
      <c r="E2134">
        <v>127.28250336647</v>
      </c>
    </row>
    <row r="2135" spans="1:5" x14ac:dyDescent="0.25">
      <c r="A2135" t="s">
        <v>6</v>
      </c>
      <c r="B2135">
        <v>13</v>
      </c>
      <c r="C2135">
        <v>9.4443937142690002E-4</v>
      </c>
      <c r="D2135">
        <v>7002</v>
      </c>
      <c r="E2135">
        <v>81.762011766433702</v>
      </c>
    </row>
    <row r="2136" spans="1:5" x14ac:dyDescent="0.25">
      <c r="A2136" t="s">
        <v>5</v>
      </c>
      <c r="B2136">
        <v>14</v>
      </c>
      <c r="C2136">
        <v>3.6111056804656897E-4</v>
      </c>
      <c r="D2136">
        <v>6960</v>
      </c>
      <c r="E2136">
        <v>175.427410125732</v>
      </c>
    </row>
    <row r="2137" spans="1:5" x14ac:dyDescent="0.25">
      <c r="A2137" t="s">
        <v>6</v>
      </c>
      <c r="B2137">
        <v>14</v>
      </c>
      <c r="C2137">
        <v>4.0740569432576399E-4</v>
      </c>
      <c r="D2137">
        <v>7002</v>
      </c>
      <c r="E2137">
        <v>98.273740291595402</v>
      </c>
    </row>
    <row r="2138" spans="1:5" x14ac:dyDescent="0.25">
      <c r="A2138" t="s">
        <v>5</v>
      </c>
      <c r="B2138">
        <v>15</v>
      </c>
      <c r="C2138">
        <v>2.22221612930297E-4</v>
      </c>
      <c r="D2138">
        <v>6960</v>
      </c>
      <c r="E2138">
        <v>167.81982016563401</v>
      </c>
    </row>
    <row r="2139" spans="1:5" x14ac:dyDescent="0.25">
      <c r="A2139" t="s">
        <v>6</v>
      </c>
      <c r="B2139">
        <v>15</v>
      </c>
      <c r="C2139">
        <v>1.2962877750396701E-4</v>
      </c>
      <c r="D2139">
        <v>7002</v>
      </c>
      <c r="E2139">
        <v>97.445785999298096</v>
      </c>
    </row>
    <row r="2140" spans="1:5" x14ac:dyDescent="0.25">
      <c r="A2140" t="s">
        <v>5</v>
      </c>
      <c r="B2140">
        <v>16</v>
      </c>
      <c r="C2140" s="1">
        <v>5.55553038914998E-5</v>
      </c>
      <c r="D2140">
        <v>6960</v>
      </c>
      <c r="E2140">
        <v>164.72680377960199</v>
      </c>
    </row>
    <row r="2141" spans="1:5" x14ac:dyDescent="0.25">
      <c r="A2141" t="s">
        <v>6</v>
      </c>
      <c r="B2141">
        <v>16</v>
      </c>
      <c r="C2141" s="1">
        <v>1.8518368403116801E-5</v>
      </c>
      <c r="D2141">
        <v>7002</v>
      </c>
      <c r="E2141">
        <v>98.398722410201998</v>
      </c>
    </row>
    <row r="2142" spans="1:5" x14ac:dyDescent="0.25">
      <c r="A2142" t="s">
        <v>5</v>
      </c>
      <c r="B2142">
        <v>17</v>
      </c>
      <c r="C2142" s="1">
        <v>7.4073870976765896E-5</v>
      </c>
      <c r="D2142">
        <v>6960</v>
      </c>
      <c r="E2142">
        <v>164.275639295578</v>
      </c>
    </row>
    <row r="2143" spans="1:5" x14ac:dyDescent="0.25">
      <c r="A2143" t="s">
        <v>6</v>
      </c>
      <c r="B2143">
        <v>17</v>
      </c>
      <c r="C2143" s="1">
        <v>2.7777751286824498E-5</v>
      </c>
      <c r="D2143">
        <v>7002</v>
      </c>
      <c r="E2143">
        <v>98.055044412612901</v>
      </c>
    </row>
    <row r="2144" spans="1:5" x14ac:dyDescent="0.25">
      <c r="A2144" t="s">
        <v>5</v>
      </c>
      <c r="B2144">
        <v>0</v>
      </c>
      <c r="C2144">
        <v>0.185472179253896</v>
      </c>
      <c r="D2144">
        <v>6960</v>
      </c>
      <c r="E2144">
        <v>112.457870960235</v>
      </c>
    </row>
    <row r="2145" spans="1:5" x14ac:dyDescent="0.25">
      <c r="A2145" t="s">
        <v>6</v>
      </c>
      <c r="B2145">
        <v>0</v>
      </c>
      <c r="C2145">
        <v>0.17919440229733699</v>
      </c>
      <c r="D2145">
        <v>7002</v>
      </c>
      <c r="E2145">
        <v>63.000808000564497</v>
      </c>
    </row>
    <row r="2146" spans="1:5" x14ac:dyDescent="0.25">
      <c r="A2146" t="s">
        <v>5</v>
      </c>
      <c r="B2146">
        <v>1</v>
      </c>
      <c r="C2146">
        <v>0.16291662494341499</v>
      </c>
      <c r="D2146">
        <v>6960</v>
      </c>
      <c r="E2146">
        <v>112.020476341247</v>
      </c>
    </row>
    <row r="2147" spans="1:5" x14ac:dyDescent="0.25">
      <c r="A2147" t="s">
        <v>6</v>
      </c>
      <c r="B2147">
        <v>1</v>
      </c>
      <c r="C2147">
        <v>0.15672218124071699</v>
      </c>
      <c r="D2147">
        <v>7002</v>
      </c>
      <c r="E2147">
        <v>63.875557661056497</v>
      </c>
    </row>
    <row r="2148" spans="1:5" x14ac:dyDescent="0.25">
      <c r="A2148" t="s">
        <v>5</v>
      </c>
      <c r="B2148">
        <v>2</v>
      </c>
      <c r="C2148">
        <v>0.141805514295895</v>
      </c>
      <c r="D2148">
        <v>6960</v>
      </c>
      <c r="E2148">
        <v>113.348230123519</v>
      </c>
    </row>
    <row r="2149" spans="1:5" x14ac:dyDescent="0.25">
      <c r="A2149" t="s">
        <v>6</v>
      </c>
      <c r="B2149">
        <v>2</v>
      </c>
      <c r="C2149">
        <v>0.13336107035477901</v>
      </c>
      <c r="D2149">
        <v>7002</v>
      </c>
      <c r="E2149">
        <v>63.578751564025801</v>
      </c>
    </row>
    <row r="2150" spans="1:5" x14ac:dyDescent="0.25">
      <c r="A2150" t="s">
        <v>5</v>
      </c>
      <c r="B2150">
        <v>3</v>
      </c>
      <c r="C2150">
        <v>0.120666627486546</v>
      </c>
      <c r="D2150">
        <v>6960</v>
      </c>
      <c r="E2150">
        <v>111.97363829612701</v>
      </c>
    </row>
    <row r="2151" spans="1:5" x14ac:dyDescent="0.25">
      <c r="A2151" t="s">
        <v>6</v>
      </c>
      <c r="B2151">
        <v>3</v>
      </c>
      <c r="C2151">
        <v>0.108694400787353</v>
      </c>
      <c r="D2151">
        <v>7002</v>
      </c>
      <c r="E2151">
        <v>63.406939983367899</v>
      </c>
    </row>
    <row r="2152" spans="1:5" x14ac:dyDescent="0.25">
      <c r="A2152" t="s">
        <v>5</v>
      </c>
      <c r="B2152">
        <v>4</v>
      </c>
      <c r="C2152">
        <v>0.100194402535756</v>
      </c>
      <c r="D2152">
        <v>6960</v>
      </c>
      <c r="E2152">
        <v>112.176688432693</v>
      </c>
    </row>
    <row r="2153" spans="1:5" x14ac:dyDescent="0.25">
      <c r="A2153" t="s">
        <v>6</v>
      </c>
      <c r="B2153">
        <v>4</v>
      </c>
      <c r="C2153">
        <v>8.7527733842531805E-2</v>
      </c>
      <c r="D2153">
        <v>7002</v>
      </c>
      <c r="E2153">
        <v>63.563117265701202</v>
      </c>
    </row>
    <row r="2154" spans="1:5" x14ac:dyDescent="0.25">
      <c r="A2154" t="s">
        <v>5</v>
      </c>
      <c r="B2154">
        <v>5</v>
      </c>
      <c r="C2154">
        <v>8.02777332067489E-2</v>
      </c>
      <c r="D2154">
        <v>6960</v>
      </c>
      <c r="E2154">
        <v>112.582844495773</v>
      </c>
    </row>
    <row r="2155" spans="1:5" x14ac:dyDescent="0.25">
      <c r="A2155" t="s">
        <v>6</v>
      </c>
      <c r="B2155">
        <v>5</v>
      </c>
      <c r="C2155">
        <v>6.7944401105244898E-2</v>
      </c>
      <c r="D2155">
        <v>7002</v>
      </c>
      <c r="E2155">
        <v>63.641240119933997</v>
      </c>
    </row>
    <row r="2156" spans="1:5" x14ac:dyDescent="0.25">
      <c r="A2156" t="s">
        <v>5</v>
      </c>
      <c r="B2156">
        <v>6</v>
      </c>
      <c r="C2156">
        <v>6.3944401542345597E-2</v>
      </c>
      <c r="D2156">
        <v>6960</v>
      </c>
      <c r="E2156">
        <v>111.958012580871</v>
      </c>
    </row>
    <row r="2157" spans="1:5" x14ac:dyDescent="0.25">
      <c r="A2157" t="s">
        <v>6</v>
      </c>
      <c r="B2157">
        <v>6</v>
      </c>
      <c r="C2157">
        <v>4.8583292365074103E-2</v>
      </c>
      <c r="D2157">
        <v>7002</v>
      </c>
      <c r="E2157">
        <v>63.578742742538402</v>
      </c>
    </row>
    <row r="2158" spans="1:5" x14ac:dyDescent="0.25">
      <c r="A2158" t="s">
        <v>5</v>
      </c>
      <c r="B2158">
        <v>8</v>
      </c>
      <c r="C2158">
        <v>3.4861075282096803E-2</v>
      </c>
      <c r="D2158">
        <v>6960</v>
      </c>
      <c r="E2158">
        <v>112.207930088043</v>
      </c>
    </row>
    <row r="2159" spans="1:5" x14ac:dyDescent="0.25">
      <c r="A2159" t="s">
        <v>6</v>
      </c>
      <c r="B2159">
        <v>8</v>
      </c>
      <c r="C2159">
        <v>2.3555524746576899E-2</v>
      </c>
      <c r="D2159">
        <v>7002</v>
      </c>
      <c r="E2159">
        <v>63.531903505325303</v>
      </c>
    </row>
    <row r="2160" spans="1:5" x14ac:dyDescent="0.25">
      <c r="A2160" t="s">
        <v>5</v>
      </c>
      <c r="B2160">
        <v>9</v>
      </c>
      <c r="C2160">
        <v>2.24721950292587E-2</v>
      </c>
      <c r="D2160">
        <v>6960</v>
      </c>
      <c r="E2160">
        <v>112.12972187995901</v>
      </c>
    </row>
    <row r="2161" spans="1:5" x14ac:dyDescent="0.25">
      <c r="A2161" t="s">
        <v>6</v>
      </c>
      <c r="B2161">
        <v>9</v>
      </c>
      <c r="C2161">
        <v>1.5805531342824301E-2</v>
      </c>
      <c r="D2161">
        <v>7002</v>
      </c>
      <c r="E2161">
        <v>63.500657081603997</v>
      </c>
    </row>
    <row r="2162" spans="1:5" x14ac:dyDescent="0.25">
      <c r="A2162" t="s">
        <v>5</v>
      </c>
      <c r="B2162">
        <v>10</v>
      </c>
      <c r="C2162">
        <v>1.1944431066513E-2</v>
      </c>
      <c r="D2162">
        <v>6960</v>
      </c>
      <c r="E2162">
        <v>111.676834583282</v>
      </c>
    </row>
    <row r="2163" spans="1:5" x14ac:dyDescent="0.25">
      <c r="A2163" t="s">
        <v>6</v>
      </c>
      <c r="B2163">
        <v>10</v>
      </c>
      <c r="C2163">
        <v>7.1666534741719502E-3</v>
      </c>
      <c r="D2163">
        <v>7002</v>
      </c>
      <c r="E2163">
        <v>63.485038995742798</v>
      </c>
    </row>
    <row r="2164" spans="1:5" x14ac:dyDescent="0.25">
      <c r="A2164" t="s">
        <v>5</v>
      </c>
      <c r="B2164">
        <v>11</v>
      </c>
      <c r="C2164">
        <v>4.5555484294891296E-3</v>
      </c>
      <c r="D2164">
        <v>6960</v>
      </c>
      <c r="E2164">
        <v>111.833043575286</v>
      </c>
    </row>
    <row r="2165" spans="1:5" x14ac:dyDescent="0.25">
      <c r="A2165" t="s">
        <v>6</v>
      </c>
      <c r="B2165">
        <v>11</v>
      </c>
      <c r="C2165">
        <v>6.0277660687764398E-3</v>
      </c>
      <c r="D2165">
        <v>7002</v>
      </c>
      <c r="E2165">
        <v>63.3756873607635</v>
      </c>
    </row>
    <row r="2166" spans="1:5" x14ac:dyDescent="0.25">
      <c r="A2166" t="s">
        <v>5</v>
      </c>
      <c r="B2166">
        <v>12</v>
      </c>
      <c r="C2166">
        <v>2.65276710192362E-3</v>
      </c>
      <c r="D2166">
        <v>6960</v>
      </c>
      <c r="E2166">
        <v>126.704511165618</v>
      </c>
    </row>
    <row r="2167" spans="1:5" x14ac:dyDescent="0.25">
      <c r="A2167" t="s">
        <v>6</v>
      </c>
      <c r="B2167">
        <v>12</v>
      </c>
      <c r="C2167">
        <v>2.0972114801406801E-3</v>
      </c>
      <c r="D2167">
        <v>7002</v>
      </c>
      <c r="E2167">
        <v>82.168137311935396</v>
      </c>
    </row>
    <row r="2168" spans="1:5" x14ac:dyDescent="0.25">
      <c r="A2168" t="s">
        <v>5</v>
      </c>
      <c r="B2168">
        <v>13</v>
      </c>
      <c r="C2168">
        <v>9.0277413527170797E-4</v>
      </c>
      <c r="D2168">
        <v>6960</v>
      </c>
      <c r="E2168">
        <v>126.407710313797</v>
      </c>
    </row>
    <row r="2169" spans="1:5" x14ac:dyDescent="0.25">
      <c r="A2169" t="s">
        <v>6</v>
      </c>
      <c r="B2169">
        <v>13</v>
      </c>
      <c r="C2169">
        <v>1.4583265781402501E-3</v>
      </c>
      <c r="D2169">
        <v>7002</v>
      </c>
      <c r="E2169">
        <v>82.313457012176499</v>
      </c>
    </row>
    <row r="2170" spans="1:5" x14ac:dyDescent="0.25">
      <c r="A2170" t="s">
        <v>5</v>
      </c>
      <c r="B2170">
        <v>14</v>
      </c>
      <c r="C2170">
        <v>3.4259140491485501E-4</v>
      </c>
      <c r="D2170">
        <v>6960</v>
      </c>
      <c r="E2170">
        <v>167.83544588088901</v>
      </c>
    </row>
    <row r="2171" spans="1:5" x14ac:dyDescent="0.25">
      <c r="A2171" t="s">
        <v>6</v>
      </c>
      <c r="B2171">
        <v>14</v>
      </c>
      <c r="C2171">
        <v>3.5185019175211501E-4</v>
      </c>
      <c r="D2171">
        <v>7002</v>
      </c>
      <c r="E2171">
        <v>97.539514064788804</v>
      </c>
    </row>
    <row r="2172" spans="1:5" x14ac:dyDescent="0.25">
      <c r="A2172" t="s">
        <v>5</v>
      </c>
      <c r="B2172">
        <v>15</v>
      </c>
      <c r="C2172">
        <v>2.0370324452718001E-4</v>
      </c>
      <c r="D2172">
        <v>6960</v>
      </c>
      <c r="E2172">
        <v>165.44536066055201</v>
      </c>
    </row>
    <row r="2173" spans="1:5" x14ac:dyDescent="0.25">
      <c r="A2173" t="s">
        <v>6</v>
      </c>
      <c r="B2173">
        <v>15</v>
      </c>
      <c r="C2173">
        <v>1.7592509587605699E-4</v>
      </c>
      <c r="D2173">
        <v>7002</v>
      </c>
      <c r="E2173">
        <v>97.726968526840196</v>
      </c>
    </row>
    <row r="2174" spans="1:5" x14ac:dyDescent="0.25">
      <c r="A2174" t="s">
        <v>5</v>
      </c>
      <c r="B2174">
        <v>16</v>
      </c>
      <c r="C2174">
        <v>0</v>
      </c>
      <c r="D2174">
        <v>6960</v>
      </c>
      <c r="E2174">
        <v>164.86736917495699</v>
      </c>
    </row>
    <row r="2175" spans="1:5" x14ac:dyDescent="0.25">
      <c r="A2175" t="s">
        <v>6</v>
      </c>
      <c r="B2175">
        <v>16</v>
      </c>
      <c r="C2175" s="1">
        <v>4.6296119689941401E-5</v>
      </c>
      <c r="D2175">
        <v>7002</v>
      </c>
      <c r="E2175">
        <v>98.101880788803101</v>
      </c>
    </row>
    <row r="2176" spans="1:5" x14ac:dyDescent="0.25">
      <c r="A2176" t="s">
        <v>5</v>
      </c>
      <c r="B2176">
        <v>17</v>
      </c>
      <c r="C2176">
        <v>0</v>
      </c>
      <c r="D2176">
        <v>6960</v>
      </c>
      <c r="E2176">
        <v>165.88275933265601</v>
      </c>
    </row>
    <row r="2177" spans="1:5" x14ac:dyDescent="0.25">
      <c r="A2177" t="s">
        <v>6</v>
      </c>
      <c r="B2177">
        <v>17</v>
      </c>
      <c r="C2177">
        <v>0</v>
      </c>
      <c r="D2177">
        <v>7002</v>
      </c>
      <c r="E2177">
        <v>97.305193901061998</v>
      </c>
    </row>
    <row r="2178" spans="1:5" x14ac:dyDescent="0.25">
      <c r="A2178" t="s">
        <v>5</v>
      </c>
      <c r="B2178">
        <v>0</v>
      </c>
      <c r="C2178">
        <v>0.18394440134366299</v>
      </c>
      <c r="D2178">
        <v>6960</v>
      </c>
      <c r="E2178">
        <v>111.90845632553101</v>
      </c>
    </row>
    <row r="2179" spans="1:5" x14ac:dyDescent="0.25">
      <c r="A2179" t="s">
        <v>6</v>
      </c>
      <c r="B2179">
        <v>0</v>
      </c>
      <c r="C2179">
        <v>0.18072217961152301</v>
      </c>
      <c r="D2179">
        <v>7002</v>
      </c>
      <c r="E2179">
        <v>62.9382932186126</v>
      </c>
    </row>
    <row r="2180" spans="1:5" x14ac:dyDescent="0.25">
      <c r="A2180" t="s">
        <v>5</v>
      </c>
      <c r="B2180">
        <v>1</v>
      </c>
      <c r="C2180">
        <v>0.163638847668965</v>
      </c>
      <c r="D2180">
        <v>6960</v>
      </c>
      <c r="E2180">
        <v>111.957991838455</v>
      </c>
    </row>
    <row r="2181" spans="1:5" x14ac:dyDescent="0.25">
      <c r="A2181" t="s">
        <v>6</v>
      </c>
      <c r="B2181">
        <v>1</v>
      </c>
      <c r="C2181">
        <v>0.15730551481246899</v>
      </c>
      <c r="D2181">
        <v>7002</v>
      </c>
      <c r="E2181">
        <v>63.1101264953613</v>
      </c>
    </row>
    <row r="2182" spans="1:5" x14ac:dyDescent="0.25">
      <c r="A2182" t="s">
        <v>5</v>
      </c>
      <c r="B2182">
        <v>2</v>
      </c>
      <c r="C2182">
        <v>0.14302773773670099</v>
      </c>
      <c r="D2182">
        <v>6960</v>
      </c>
      <c r="E2182">
        <v>111.41123676300001</v>
      </c>
    </row>
    <row r="2183" spans="1:5" x14ac:dyDescent="0.25">
      <c r="A2183" t="s">
        <v>6</v>
      </c>
      <c r="B2183">
        <v>2</v>
      </c>
      <c r="C2183">
        <v>0.131972182194391</v>
      </c>
      <c r="D2183">
        <v>7002</v>
      </c>
      <c r="E2183">
        <v>63.7506008148193</v>
      </c>
    </row>
    <row r="2184" spans="1:5" x14ac:dyDescent="0.25">
      <c r="A2184" t="s">
        <v>5</v>
      </c>
      <c r="B2184">
        <v>3</v>
      </c>
      <c r="C2184">
        <v>0.120277737180391</v>
      </c>
      <c r="D2184">
        <v>6960</v>
      </c>
      <c r="E2184">
        <v>112.9889690876</v>
      </c>
    </row>
    <row r="2185" spans="1:5" x14ac:dyDescent="0.25">
      <c r="A2185" t="s">
        <v>6</v>
      </c>
      <c r="B2185">
        <v>3</v>
      </c>
      <c r="C2185">
        <v>0.1096944018205</v>
      </c>
      <c r="D2185">
        <v>7002</v>
      </c>
      <c r="E2185">
        <v>63.141369819641099</v>
      </c>
    </row>
    <row r="2186" spans="1:5" x14ac:dyDescent="0.25">
      <c r="A2186" t="s">
        <v>5</v>
      </c>
      <c r="B2186">
        <v>4</v>
      </c>
      <c r="C2186">
        <v>0.100111069480578</v>
      </c>
      <c r="D2186">
        <v>6960</v>
      </c>
      <c r="E2186">
        <v>112.270417928695</v>
      </c>
    </row>
    <row r="2187" spans="1:5" x14ac:dyDescent="0.25">
      <c r="A2187" t="s">
        <v>6</v>
      </c>
      <c r="B2187">
        <v>4</v>
      </c>
      <c r="C2187">
        <v>8.5833290616671207E-2</v>
      </c>
      <c r="D2187">
        <v>7002</v>
      </c>
      <c r="E2187">
        <v>63.172611951828003</v>
      </c>
    </row>
    <row r="2188" spans="1:5" x14ac:dyDescent="0.25">
      <c r="A2188" t="s">
        <v>5</v>
      </c>
      <c r="B2188">
        <v>5</v>
      </c>
      <c r="C2188">
        <v>7.8111066818237304E-2</v>
      </c>
      <c r="D2188">
        <v>6960</v>
      </c>
      <c r="E2188">
        <v>111.911098241806</v>
      </c>
    </row>
    <row r="2189" spans="1:5" x14ac:dyDescent="0.25">
      <c r="A2189" t="s">
        <v>6</v>
      </c>
      <c r="B2189">
        <v>5</v>
      </c>
      <c r="C2189">
        <v>6.7305511633555096E-2</v>
      </c>
      <c r="D2189">
        <v>7002</v>
      </c>
      <c r="E2189">
        <v>63.000777721405001</v>
      </c>
    </row>
    <row r="2190" spans="1:5" x14ac:dyDescent="0.25">
      <c r="A2190" t="s">
        <v>5</v>
      </c>
      <c r="B2190">
        <v>6</v>
      </c>
      <c r="C2190">
        <v>6.4027734200159697E-2</v>
      </c>
      <c r="D2190">
        <v>6960</v>
      </c>
      <c r="E2190">
        <v>112.535956144332</v>
      </c>
    </row>
    <row r="2191" spans="1:5" x14ac:dyDescent="0.25">
      <c r="A2191" t="s">
        <v>6</v>
      </c>
      <c r="B2191">
        <v>6</v>
      </c>
      <c r="C2191">
        <v>4.8166623910268103E-2</v>
      </c>
      <c r="D2191">
        <v>7002</v>
      </c>
      <c r="E2191">
        <v>63.172612428665097</v>
      </c>
    </row>
    <row r="2192" spans="1:5" x14ac:dyDescent="0.25">
      <c r="A2192" t="s">
        <v>5</v>
      </c>
      <c r="B2192">
        <v>8</v>
      </c>
      <c r="C2192">
        <v>3.5861074527104603E-2</v>
      </c>
      <c r="D2192">
        <v>6960</v>
      </c>
      <c r="E2192">
        <v>111.80175352096499</v>
      </c>
    </row>
    <row r="2193" spans="1:5" x14ac:dyDescent="0.25">
      <c r="A2193" t="s">
        <v>6</v>
      </c>
      <c r="B2193">
        <v>8</v>
      </c>
      <c r="C2193">
        <v>2.5222189823786399E-2</v>
      </c>
      <c r="D2193">
        <v>7002</v>
      </c>
      <c r="E2193">
        <v>63.047641992568899</v>
      </c>
    </row>
    <row r="2194" spans="1:5" x14ac:dyDescent="0.25">
      <c r="A2194" t="s">
        <v>5</v>
      </c>
      <c r="B2194">
        <v>9</v>
      </c>
      <c r="C2194">
        <v>2.07777533928553E-2</v>
      </c>
      <c r="D2194">
        <v>6960</v>
      </c>
      <c r="E2194">
        <v>111.504949092864</v>
      </c>
    </row>
    <row r="2195" spans="1:5" x14ac:dyDescent="0.25">
      <c r="A2195" t="s">
        <v>6</v>
      </c>
      <c r="B2195">
        <v>9</v>
      </c>
      <c r="C2195">
        <v>1.39999771118164E-2</v>
      </c>
      <c r="D2195">
        <v>7002</v>
      </c>
      <c r="E2195">
        <v>63.032020568847599</v>
      </c>
    </row>
    <row r="2196" spans="1:5" x14ac:dyDescent="0.25">
      <c r="A2196" t="s">
        <v>5</v>
      </c>
      <c r="B2196">
        <v>10</v>
      </c>
      <c r="C2196">
        <v>1.27777610222498E-2</v>
      </c>
      <c r="D2196">
        <v>6960</v>
      </c>
      <c r="E2196">
        <v>112.785868644714</v>
      </c>
    </row>
    <row r="2197" spans="1:5" x14ac:dyDescent="0.25">
      <c r="A2197" t="s">
        <v>6</v>
      </c>
      <c r="B2197">
        <v>10</v>
      </c>
      <c r="C2197">
        <v>9.4999831914901692E-3</v>
      </c>
      <c r="D2197">
        <v>7002</v>
      </c>
      <c r="E2197">
        <v>63.1413700580596</v>
      </c>
    </row>
    <row r="2198" spans="1:5" x14ac:dyDescent="0.25">
      <c r="A2198" t="s">
        <v>5</v>
      </c>
      <c r="B2198">
        <v>11</v>
      </c>
      <c r="C2198">
        <v>6.6111008326212497E-3</v>
      </c>
      <c r="D2198">
        <v>6960</v>
      </c>
      <c r="E2198">
        <v>111.75491285324</v>
      </c>
    </row>
    <row r="2199" spans="1:5" x14ac:dyDescent="0.25">
      <c r="A2199" t="s">
        <v>6</v>
      </c>
      <c r="B2199">
        <v>11</v>
      </c>
      <c r="C2199">
        <v>3.2222151756286601E-3</v>
      </c>
      <c r="D2199">
        <v>7002</v>
      </c>
      <c r="E2199">
        <v>64.889513015746999</v>
      </c>
    </row>
    <row r="2200" spans="1:5" x14ac:dyDescent="0.25">
      <c r="A2200" t="s">
        <v>5</v>
      </c>
      <c r="B2200">
        <v>12</v>
      </c>
      <c r="C2200">
        <v>2.7222120761871299E-3</v>
      </c>
      <c r="D2200">
        <v>6960</v>
      </c>
      <c r="E2200">
        <v>128.12605476379301</v>
      </c>
    </row>
    <row r="2201" spans="1:5" x14ac:dyDescent="0.25">
      <c r="A2201" t="s">
        <v>6</v>
      </c>
      <c r="B2201">
        <v>12</v>
      </c>
      <c r="C2201">
        <v>2.1249880393346102E-3</v>
      </c>
      <c r="D2201">
        <v>7002</v>
      </c>
      <c r="E2201">
        <v>81.871330499649005</v>
      </c>
    </row>
    <row r="2202" spans="1:5" x14ac:dyDescent="0.25">
      <c r="A2202" t="s">
        <v>5</v>
      </c>
      <c r="B2202">
        <v>13</v>
      </c>
      <c r="C2202">
        <v>8.6110750834147098E-4</v>
      </c>
      <c r="D2202">
        <v>6960</v>
      </c>
      <c r="E2202">
        <v>128.219758510589</v>
      </c>
    </row>
    <row r="2203" spans="1:5" x14ac:dyDescent="0.25">
      <c r="A2203" t="s">
        <v>6</v>
      </c>
      <c r="B2203">
        <v>13</v>
      </c>
      <c r="C2203">
        <v>1.0555495818455999E-3</v>
      </c>
      <c r="D2203">
        <v>7002</v>
      </c>
      <c r="E2203">
        <v>82.386834383010793</v>
      </c>
    </row>
    <row r="2204" spans="1:5" x14ac:dyDescent="0.25">
      <c r="A2204" t="s">
        <v>5</v>
      </c>
      <c r="B2204">
        <v>14</v>
      </c>
      <c r="C2204">
        <v>3.5185098648071202E-4</v>
      </c>
      <c r="D2204">
        <v>6960</v>
      </c>
      <c r="E2204">
        <v>180.75425839424099</v>
      </c>
    </row>
    <row r="2205" spans="1:5" x14ac:dyDescent="0.25">
      <c r="A2205" t="s">
        <v>6</v>
      </c>
      <c r="B2205">
        <v>14</v>
      </c>
      <c r="C2205">
        <v>3.9814670880635502E-4</v>
      </c>
      <c r="D2205">
        <v>7002</v>
      </c>
      <c r="E2205">
        <v>98.008152484893799</v>
      </c>
    </row>
    <row r="2206" spans="1:5" x14ac:dyDescent="0.25">
      <c r="A2206" t="s">
        <v>5</v>
      </c>
      <c r="B2206">
        <v>15</v>
      </c>
      <c r="C2206" s="1">
        <v>9.2592438062031999E-5</v>
      </c>
      <c r="D2206">
        <v>6960</v>
      </c>
      <c r="E2206">
        <v>168.17907810211099</v>
      </c>
    </row>
    <row r="2207" spans="1:5" x14ac:dyDescent="0.25">
      <c r="A2207" t="s">
        <v>6</v>
      </c>
      <c r="B2207">
        <v>15</v>
      </c>
      <c r="C2207">
        <v>2.03702648480733E-4</v>
      </c>
      <c r="D2207">
        <v>7002</v>
      </c>
      <c r="E2207">
        <v>97.992532491683903</v>
      </c>
    </row>
    <row r="2208" spans="1:5" x14ac:dyDescent="0.25">
      <c r="A2208" t="s">
        <v>5</v>
      </c>
      <c r="B2208">
        <v>16</v>
      </c>
      <c r="C2208">
        <v>1.01851423581441E-4</v>
      </c>
      <c r="D2208">
        <v>6960</v>
      </c>
      <c r="E2208">
        <v>165.273549318313</v>
      </c>
    </row>
    <row r="2209" spans="1:5" x14ac:dyDescent="0.25">
      <c r="A2209" t="s">
        <v>6</v>
      </c>
      <c r="B2209">
        <v>16</v>
      </c>
      <c r="C2209" s="1">
        <v>7.4073870976765896E-5</v>
      </c>
      <c r="D2209">
        <v>7002</v>
      </c>
      <c r="E2209">
        <v>98.304957866668701</v>
      </c>
    </row>
    <row r="2210" spans="1:5" x14ac:dyDescent="0.25">
      <c r="A2210" t="s">
        <v>5</v>
      </c>
      <c r="B2210">
        <v>17</v>
      </c>
      <c r="C2210" s="1">
        <v>7.4073870976765896E-5</v>
      </c>
      <c r="D2210">
        <v>6960</v>
      </c>
      <c r="E2210">
        <v>164.99226355552599</v>
      </c>
    </row>
    <row r="2211" spans="1:5" x14ac:dyDescent="0.25">
      <c r="A2211" t="s">
        <v>6</v>
      </c>
      <c r="B2211">
        <v>17</v>
      </c>
      <c r="C2211">
        <v>0</v>
      </c>
      <c r="D2211">
        <v>7002</v>
      </c>
      <c r="E2211">
        <v>97.961289405822697</v>
      </c>
    </row>
    <row r="2212" spans="1:5" x14ac:dyDescent="0.25">
      <c r="A2212" t="s">
        <v>5</v>
      </c>
      <c r="B2212">
        <v>0</v>
      </c>
      <c r="C2212">
        <v>0.187944400906562</v>
      </c>
      <c r="D2212">
        <v>6960</v>
      </c>
      <c r="E2212">
        <v>111.864263057708</v>
      </c>
    </row>
    <row r="2213" spans="1:5" x14ac:dyDescent="0.25">
      <c r="A2213" t="s">
        <v>6</v>
      </c>
      <c r="B2213">
        <v>0</v>
      </c>
      <c r="C2213">
        <v>0.18113884846369399</v>
      </c>
      <c r="D2213">
        <v>7002</v>
      </c>
      <c r="E2213">
        <v>63.5943889617919</v>
      </c>
    </row>
    <row r="2214" spans="1:5" x14ac:dyDescent="0.25">
      <c r="A2214" t="s">
        <v>5</v>
      </c>
      <c r="B2214">
        <v>1</v>
      </c>
      <c r="C2214">
        <v>0.16699995855490299</v>
      </c>
      <c r="D2214">
        <v>6960</v>
      </c>
      <c r="E2214">
        <v>112.20035529136599</v>
      </c>
    </row>
    <row r="2215" spans="1:5" x14ac:dyDescent="0.25">
      <c r="A2215" t="s">
        <v>6</v>
      </c>
      <c r="B2215">
        <v>1</v>
      </c>
      <c r="C2215">
        <v>0.157611070076624</v>
      </c>
      <c r="D2215">
        <v>7002</v>
      </c>
      <c r="E2215">
        <v>63.5787575244903</v>
      </c>
    </row>
    <row r="2216" spans="1:5" x14ac:dyDescent="0.25">
      <c r="A2216" t="s">
        <v>5</v>
      </c>
      <c r="B2216">
        <v>2</v>
      </c>
      <c r="C2216">
        <v>0.14236106952031399</v>
      </c>
      <c r="D2216">
        <v>6960</v>
      </c>
      <c r="E2216">
        <v>112.239174604415</v>
      </c>
    </row>
    <row r="2217" spans="1:5" x14ac:dyDescent="0.25">
      <c r="A2217" t="s">
        <v>6</v>
      </c>
      <c r="B2217">
        <v>2</v>
      </c>
      <c r="C2217">
        <v>0.13294440448284101</v>
      </c>
      <c r="D2217">
        <v>7002</v>
      </c>
      <c r="E2217">
        <v>63.610008716583202</v>
      </c>
    </row>
    <row r="2218" spans="1:5" x14ac:dyDescent="0.25">
      <c r="A2218" t="s">
        <v>5</v>
      </c>
      <c r="B2218">
        <v>3</v>
      </c>
      <c r="C2218">
        <v>0.12147218147913599</v>
      </c>
      <c r="D2218">
        <v>6960</v>
      </c>
      <c r="E2218">
        <v>112.176714658737</v>
      </c>
    </row>
    <row r="2219" spans="1:5" x14ac:dyDescent="0.25">
      <c r="A2219" t="s">
        <v>6</v>
      </c>
      <c r="B2219">
        <v>3</v>
      </c>
      <c r="C2219">
        <v>0.109333290656407</v>
      </c>
      <c r="D2219">
        <v>7002</v>
      </c>
      <c r="E2219">
        <v>63.953693151473999</v>
      </c>
    </row>
    <row r="2220" spans="1:5" x14ac:dyDescent="0.25">
      <c r="A2220" t="s">
        <v>5</v>
      </c>
      <c r="B2220">
        <v>4</v>
      </c>
      <c r="C2220">
        <v>9.7972180048624596E-2</v>
      </c>
      <c r="D2220">
        <v>6960</v>
      </c>
      <c r="E2220">
        <v>113.28580260276701</v>
      </c>
    </row>
    <row r="2221" spans="1:5" x14ac:dyDescent="0.25">
      <c r="A2221" t="s">
        <v>6</v>
      </c>
      <c r="B2221">
        <v>4</v>
      </c>
      <c r="C2221">
        <v>8.6222178737322394E-2</v>
      </c>
      <c r="D2221">
        <v>7002</v>
      </c>
      <c r="E2221">
        <v>63.917998313903801</v>
      </c>
    </row>
    <row r="2222" spans="1:5" x14ac:dyDescent="0.25">
      <c r="A2222" t="s">
        <v>5</v>
      </c>
      <c r="B2222">
        <v>5</v>
      </c>
      <c r="C2222">
        <v>8.0777734716733302E-2</v>
      </c>
      <c r="D2222">
        <v>6960</v>
      </c>
      <c r="E2222">
        <v>112.426541090011</v>
      </c>
    </row>
    <row r="2223" spans="1:5" x14ac:dyDescent="0.25">
      <c r="A2223" t="s">
        <v>6</v>
      </c>
      <c r="B2223">
        <v>5</v>
      </c>
      <c r="C2223">
        <v>6.7194400032361296E-2</v>
      </c>
      <c r="D2223">
        <v>7002</v>
      </c>
      <c r="E2223">
        <v>63.500686883926299</v>
      </c>
    </row>
    <row r="2224" spans="1:5" x14ac:dyDescent="0.25">
      <c r="A2224" t="s">
        <v>5</v>
      </c>
      <c r="B2224">
        <v>6</v>
      </c>
      <c r="C2224">
        <v>6.52499572436014E-2</v>
      </c>
      <c r="D2224">
        <v>6960</v>
      </c>
      <c r="E2224">
        <v>111.333137512207</v>
      </c>
    </row>
    <row r="2225" spans="1:5" x14ac:dyDescent="0.25">
      <c r="A2225" t="s">
        <v>6</v>
      </c>
      <c r="B2225">
        <v>6</v>
      </c>
      <c r="C2225">
        <v>5.1361069083213799E-2</v>
      </c>
      <c r="D2225">
        <v>7002</v>
      </c>
      <c r="E2225">
        <v>63.422582149505601</v>
      </c>
    </row>
    <row r="2226" spans="1:5" x14ac:dyDescent="0.25">
      <c r="A2226" t="s">
        <v>5</v>
      </c>
      <c r="B2226">
        <v>8</v>
      </c>
      <c r="C2226">
        <v>3.2499965230623797E-2</v>
      </c>
      <c r="D2226">
        <v>6960</v>
      </c>
      <c r="E2226">
        <v>112.64529752731301</v>
      </c>
    </row>
    <row r="2227" spans="1:5" x14ac:dyDescent="0.25">
      <c r="A2227" t="s">
        <v>6</v>
      </c>
      <c r="B2227">
        <v>8</v>
      </c>
      <c r="C2227">
        <v>2.2555526693661999E-2</v>
      </c>
      <c r="D2227">
        <v>7002</v>
      </c>
      <c r="E2227">
        <v>63.547525167465203</v>
      </c>
    </row>
    <row r="2228" spans="1:5" x14ac:dyDescent="0.25">
      <c r="A2228" t="s">
        <v>5</v>
      </c>
      <c r="B2228">
        <v>9</v>
      </c>
      <c r="C2228">
        <v>2.4388860265413901E-2</v>
      </c>
      <c r="D2228">
        <v>6960</v>
      </c>
      <c r="E2228">
        <v>112.020399332046</v>
      </c>
    </row>
    <row r="2229" spans="1:5" x14ac:dyDescent="0.25">
      <c r="A2229" t="s">
        <v>6</v>
      </c>
      <c r="B2229">
        <v>9</v>
      </c>
      <c r="C2229">
        <v>1.48055295149485E-2</v>
      </c>
      <c r="D2229">
        <v>7002</v>
      </c>
      <c r="E2229">
        <v>63.5631489753723</v>
      </c>
    </row>
    <row r="2230" spans="1:5" x14ac:dyDescent="0.25">
      <c r="A2230" t="s">
        <v>5</v>
      </c>
      <c r="B2230">
        <v>10</v>
      </c>
      <c r="C2230">
        <v>1.35277593135833E-2</v>
      </c>
      <c r="D2230">
        <v>6960</v>
      </c>
      <c r="E2230">
        <v>112.004886388778</v>
      </c>
    </row>
    <row r="2231" spans="1:5" x14ac:dyDescent="0.25">
      <c r="A2231" t="s">
        <v>6</v>
      </c>
      <c r="B2231">
        <v>10</v>
      </c>
      <c r="C2231">
        <v>1.2583311597506201E-2</v>
      </c>
      <c r="D2231">
        <v>7002</v>
      </c>
      <c r="E2231">
        <v>63.578734397888098</v>
      </c>
    </row>
    <row r="2232" spans="1:5" x14ac:dyDescent="0.25">
      <c r="A2232" t="s">
        <v>5</v>
      </c>
      <c r="B2232">
        <v>11</v>
      </c>
      <c r="C2232">
        <v>6.2499924500783203E-3</v>
      </c>
      <c r="D2232">
        <v>6960</v>
      </c>
      <c r="E2232">
        <v>112.145474433898</v>
      </c>
    </row>
    <row r="2233" spans="1:5" x14ac:dyDescent="0.25">
      <c r="A2233" t="s">
        <v>6</v>
      </c>
      <c r="B2233">
        <v>11</v>
      </c>
      <c r="C2233">
        <v>5.5555440982182798E-3</v>
      </c>
      <c r="D2233">
        <v>7002</v>
      </c>
      <c r="E2233">
        <v>63.516275882720898</v>
      </c>
    </row>
    <row r="2234" spans="1:5" x14ac:dyDescent="0.25">
      <c r="A2234" t="s">
        <v>5</v>
      </c>
      <c r="B2234">
        <v>12</v>
      </c>
      <c r="C2234">
        <v>1.44443909327189E-3</v>
      </c>
      <c r="D2234">
        <v>6960</v>
      </c>
      <c r="E2234">
        <v>128.06356859207099</v>
      </c>
    </row>
    <row r="2235" spans="1:5" x14ac:dyDescent="0.25">
      <c r="A2235" t="s">
        <v>6</v>
      </c>
      <c r="B2235">
        <v>12</v>
      </c>
      <c r="C2235">
        <v>2.05554584662119E-3</v>
      </c>
      <c r="D2235">
        <v>7002</v>
      </c>
      <c r="E2235">
        <v>81.746383905410696</v>
      </c>
    </row>
    <row r="2236" spans="1:5" x14ac:dyDescent="0.25">
      <c r="A2236" t="s">
        <v>5</v>
      </c>
      <c r="B2236">
        <v>13</v>
      </c>
      <c r="C2236">
        <v>8.6110810438791896E-4</v>
      </c>
      <c r="D2236">
        <v>6960</v>
      </c>
      <c r="E2236">
        <v>128.29788994789101</v>
      </c>
    </row>
    <row r="2237" spans="1:5" x14ac:dyDescent="0.25">
      <c r="A2237" t="s">
        <v>6</v>
      </c>
      <c r="B2237">
        <v>13</v>
      </c>
      <c r="C2237">
        <v>7.4999610582987401E-4</v>
      </c>
      <c r="D2237">
        <v>7002</v>
      </c>
      <c r="E2237">
        <v>81.871334552764793</v>
      </c>
    </row>
    <row r="2238" spans="1:5" x14ac:dyDescent="0.25">
      <c r="A2238" t="s">
        <v>5</v>
      </c>
      <c r="B2238">
        <v>14</v>
      </c>
      <c r="C2238">
        <v>5.1851749420165998E-4</v>
      </c>
      <c r="D2238">
        <v>6960</v>
      </c>
      <c r="E2238">
        <v>184.86111259460401</v>
      </c>
    </row>
    <row r="2239" spans="1:5" x14ac:dyDescent="0.25">
      <c r="A2239" t="s">
        <v>6</v>
      </c>
      <c r="B2239">
        <v>14</v>
      </c>
      <c r="C2239">
        <v>4.8147896925608297E-4</v>
      </c>
      <c r="D2239">
        <v>7002</v>
      </c>
      <c r="E2239">
        <v>97.914421319961505</v>
      </c>
    </row>
    <row r="2240" spans="1:5" x14ac:dyDescent="0.25">
      <c r="A2240" t="s">
        <v>5</v>
      </c>
      <c r="B2240">
        <v>15</v>
      </c>
      <c r="C2240" s="1">
        <v>9.2592239379882802E-5</v>
      </c>
      <c r="D2240">
        <v>6960</v>
      </c>
      <c r="E2240">
        <v>164.13562464713999</v>
      </c>
    </row>
    <row r="2241" spans="1:5" x14ac:dyDescent="0.25">
      <c r="A2241" t="s">
        <v>6</v>
      </c>
      <c r="B2241">
        <v>15</v>
      </c>
      <c r="C2241">
        <v>1.85184677441914E-4</v>
      </c>
      <c r="D2241">
        <v>7002</v>
      </c>
      <c r="E2241">
        <v>97.8206977844238</v>
      </c>
    </row>
    <row r="2242" spans="1:5" x14ac:dyDescent="0.25">
      <c r="A2242" t="s">
        <v>5</v>
      </c>
      <c r="B2242">
        <v>16</v>
      </c>
      <c r="C2242">
        <v>1.3888875643412201E-4</v>
      </c>
      <c r="D2242">
        <v>6960</v>
      </c>
      <c r="E2242">
        <v>161.75875282287501</v>
      </c>
    </row>
    <row r="2243" spans="1:5" x14ac:dyDescent="0.25">
      <c r="A2243" t="s">
        <v>6</v>
      </c>
      <c r="B2243">
        <v>16</v>
      </c>
      <c r="C2243" s="1">
        <v>3.7036736806233697E-5</v>
      </c>
      <c r="D2243">
        <v>7002</v>
      </c>
      <c r="E2243">
        <v>98.492413520812903</v>
      </c>
    </row>
    <row r="2244" spans="1:5" x14ac:dyDescent="0.25">
      <c r="A2244" t="s">
        <v>5</v>
      </c>
      <c r="B2244">
        <v>17</v>
      </c>
      <c r="C2244" s="1">
        <v>2.7777751286824498E-5</v>
      </c>
      <c r="D2244">
        <v>6960</v>
      </c>
      <c r="E2244">
        <v>161.461844682693</v>
      </c>
    </row>
    <row r="2245" spans="1:5" x14ac:dyDescent="0.25">
      <c r="A2245" t="s">
        <v>6</v>
      </c>
      <c r="B2245">
        <v>17</v>
      </c>
      <c r="C2245" s="1">
        <v>5.55553038914998E-5</v>
      </c>
      <c r="D2245">
        <v>7002</v>
      </c>
      <c r="E2245">
        <v>97.586378574371295</v>
      </c>
    </row>
    <row r="2246" spans="1:5" x14ac:dyDescent="0.25">
      <c r="A2246" t="s">
        <v>5</v>
      </c>
      <c r="B2246">
        <v>0</v>
      </c>
      <c r="C2246">
        <v>0.18666662275791099</v>
      </c>
      <c r="D2246">
        <v>6960</v>
      </c>
      <c r="E2246">
        <v>111.80174946784901</v>
      </c>
    </row>
    <row r="2247" spans="1:5" x14ac:dyDescent="0.25">
      <c r="A2247" t="s">
        <v>6</v>
      </c>
      <c r="B2247">
        <v>0</v>
      </c>
      <c r="C2247">
        <v>0.179305514295895</v>
      </c>
      <c r="D2247">
        <v>7002</v>
      </c>
      <c r="E2247">
        <v>63.797458648681598</v>
      </c>
    </row>
    <row r="2248" spans="1:5" x14ac:dyDescent="0.25">
      <c r="A2248" t="s">
        <v>5</v>
      </c>
      <c r="B2248">
        <v>1</v>
      </c>
      <c r="C2248">
        <v>0.163305514653523</v>
      </c>
      <c r="D2248">
        <v>6960</v>
      </c>
      <c r="E2248">
        <v>112.02952241897501</v>
      </c>
    </row>
    <row r="2249" spans="1:5" x14ac:dyDescent="0.25">
      <c r="A2249" t="s">
        <v>6</v>
      </c>
      <c r="B2249">
        <v>1</v>
      </c>
      <c r="C2249">
        <v>0.15719440321127501</v>
      </c>
      <c r="D2249">
        <v>7002</v>
      </c>
      <c r="E2249">
        <v>63.469394683837798</v>
      </c>
    </row>
    <row r="2250" spans="1:5" x14ac:dyDescent="0.25">
      <c r="A2250" t="s">
        <v>5</v>
      </c>
      <c r="B2250">
        <v>2</v>
      </c>
      <c r="C2250">
        <v>0.143222181797027</v>
      </c>
      <c r="D2250">
        <v>6960</v>
      </c>
      <c r="E2250">
        <v>111.83203291893</v>
      </c>
    </row>
    <row r="2251" spans="1:5" x14ac:dyDescent="0.25">
      <c r="A2251" t="s">
        <v>6</v>
      </c>
      <c r="B2251">
        <v>2</v>
      </c>
      <c r="C2251">
        <v>0.13308329224586399</v>
      </c>
      <c r="D2251">
        <v>7002</v>
      </c>
      <c r="E2251">
        <v>63.266369104385298</v>
      </c>
    </row>
    <row r="2252" spans="1:5" x14ac:dyDescent="0.25">
      <c r="A2252" t="s">
        <v>5</v>
      </c>
      <c r="B2252">
        <v>3</v>
      </c>
      <c r="C2252">
        <v>0.122166627049446</v>
      </c>
      <c r="D2252">
        <v>6960</v>
      </c>
      <c r="E2252">
        <v>112.301659107208</v>
      </c>
    </row>
    <row r="2253" spans="1:5" x14ac:dyDescent="0.25">
      <c r="A2253" t="s">
        <v>6</v>
      </c>
      <c r="B2253">
        <v>3</v>
      </c>
      <c r="C2253">
        <v>0.10883329033851601</v>
      </c>
      <c r="D2253">
        <v>7002</v>
      </c>
      <c r="E2253">
        <v>63.7193601131439</v>
      </c>
    </row>
    <row r="2254" spans="1:5" x14ac:dyDescent="0.25">
      <c r="A2254" t="s">
        <v>5</v>
      </c>
      <c r="B2254">
        <v>4</v>
      </c>
      <c r="C2254">
        <v>9.79999566078186E-2</v>
      </c>
      <c r="D2254">
        <v>6960</v>
      </c>
      <c r="E2254">
        <v>112.44218134880001</v>
      </c>
    </row>
    <row r="2255" spans="1:5" x14ac:dyDescent="0.25">
      <c r="A2255" t="s">
        <v>6</v>
      </c>
      <c r="B2255">
        <v>4</v>
      </c>
      <c r="C2255">
        <v>8.6694401502609195E-2</v>
      </c>
      <c r="D2255">
        <v>7002</v>
      </c>
      <c r="E2255">
        <v>64.031785726547199</v>
      </c>
    </row>
    <row r="2256" spans="1:5" x14ac:dyDescent="0.25">
      <c r="A2256" t="s">
        <v>5</v>
      </c>
      <c r="B2256">
        <v>5</v>
      </c>
      <c r="C2256">
        <v>8.1444399952888394E-2</v>
      </c>
      <c r="D2256">
        <v>6960</v>
      </c>
      <c r="E2256">
        <v>113.051418542861</v>
      </c>
    </row>
    <row r="2257" spans="1:5" x14ac:dyDescent="0.25">
      <c r="A2257" t="s">
        <v>6</v>
      </c>
      <c r="B2257">
        <v>5</v>
      </c>
      <c r="C2257">
        <v>6.7138846516609105E-2</v>
      </c>
      <c r="D2257">
        <v>7002</v>
      </c>
      <c r="E2257">
        <v>63.781816720962503</v>
      </c>
    </row>
    <row r="2258" spans="1:5" x14ac:dyDescent="0.25">
      <c r="A2258" t="s">
        <v>5</v>
      </c>
      <c r="B2258">
        <v>6</v>
      </c>
      <c r="C2258">
        <v>6.1638846397399902E-2</v>
      </c>
      <c r="D2258">
        <v>6960</v>
      </c>
      <c r="E2258">
        <v>112.020473480224</v>
      </c>
    </row>
    <row r="2259" spans="1:5" x14ac:dyDescent="0.25">
      <c r="A2259" t="s">
        <v>6</v>
      </c>
      <c r="B2259">
        <v>6</v>
      </c>
      <c r="C2259">
        <v>4.8972181280453997E-2</v>
      </c>
      <c r="D2259">
        <v>7002</v>
      </c>
      <c r="E2259">
        <v>63.641280651092501</v>
      </c>
    </row>
    <row r="2260" spans="1:5" x14ac:dyDescent="0.25">
      <c r="A2260" t="s">
        <v>5</v>
      </c>
      <c r="B2260">
        <v>8</v>
      </c>
      <c r="C2260">
        <v>3.4472185770670502E-2</v>
      </c>
      <c r="D2260">
        <v>6960</v>
      </c>
      <c r="E2260">
        <v>112.301686525344</v>
      </c>
    </row>
    <row r="2261" spans="1:5" x14ac:dyDescent="0.25">
      <c r="A2261" t="s">
        <v>6</v>
      </c>
      <c r="B2261">
        <v>8</v>
      </c>
      <c r="C2261">
        <v>2.6694411039352401E-2</v>
      </c>
      <c r="D2261">
        <v>7002</v>
      </c>
      <c r="E2261">
        <v>63.656871080398503</v>
      </c>
    </row>
    <row r="2262" spans="1:5" x14ac:dyDescent="0.25">
      <c r="A2262" t="s">
        <v>5</v>
      </c>
      <c r="B2262">
        <v>9</v>
      </c>
      <c r="C2262">
        <v>2.6194414695103901E-2</v>
      </c>
      <c r="D2262">
        <v>6960</v>
      </c>
      <c r="E2262">
        <v>112.26124429702701</v>
      </c>
    </row>
    <row r="2263" spans="1:5" x14ac:dyDescent="0.25">
      <c r="A2263" t="s">
        <v>6</v>
      </c>
      <c r="B2263">
        <v>9</v>
      </c>
      <c r="C2263">
        <v>1.4888866742451899E-2</v>
      </c>
      <c r="D2263">
        <v>7002</v>
      </c>
      <c r="E2263">
        <v>63.6568732261657</v>
      </c>
    </row>
    <row r="2264" spans="1:5" x14ac:dyDescent="0.25">
      <c r="A2264" t="s">
        <v>5</v>
      </c>
      <c r="B2264">
        <v>10</v>
      </c>
      <c r="C2264">
        <v>1.2861093680063799E-2</v>
      </c>
      <c r="D2264">
        <v>6960</v>
      </c>
      <c r="E2264">
        <v>111.739383220672</v>
      </c>
    </row>
    <row r="2265" spans="1:5" x14ac:dyDescent="0.25">
      <c r="A2265" t="s">
        <v>6</v>
      </c>
      <c r="B2265">
        <v>10</v>
      </c>
      <c r="C2265">
        <v>1.1722201903661E-2</v>
      </c>
      <c r="D2265">
        <v>7002</v>
      </c>
      <c r="E2265">
        <v>63.563082933425903</v>
      </c>
    </row>
    <row r="2266" spans="1:5" x14ac:dyDescent="0.25">
      <c r="A2266" t="s">
        <v>5</v>
      </c>
      <c r="B2266">
        <v>11</v>
      </c>
      <c r="C2266">
        <v>6.4722120761871301E-3</v>
      </c>
      <c r="D2266">
        <v>6960</v>
      </c>
      <c r="E2266">
        <v>112.19231200218201</v>
      </c>
    </row>
    <row r="2267" spans="1:5" x14ac:dyDescent="0.25">
      <c r="A2267" t="s">
        <v>6</v>
      </c>
      <c r="B2267">
        <v>11</v>
      </c>
      <c r="C2267">
        <v>7.1110979715983003E-3</v>
      </c>
      <c r="D2267">
        <v>7002</v>
      </c>
      <c r="E2267">
        <v>63.8130843639373</v>
      </c>
    </row>
    <row r="2268" spans="1:5" x14ac:dyDescent="0.25">
      <c r="A2268" t="s">
        <v>5</v>
      </c>
      <c r="B2268">
        <v>12</v>
      </c>
      <c r="C2268">
        <v>2.1805475155512398E-3</v>
      </c>
      <c r="D2268">
        <v>6960</v>
      </c>
      <c r="E2268">
        <v>128.06356906890801</v>
      </c>
    </row>
    <row r="2269" spans="1:5" x14ac:dyDescent="0.25">
      <c r="A2269" t="s">
        <v>6</v>
      </c>
      <c r="B2269">
        <v>12</v>
      </c>
      <c r="C2269">
        <v>2.4999862909316998E-3</v>
      </c>
      <c r="D2269">
        <v>7002</v>
      </c>
      <c r="E2269">
        <v>81.918194770812903</v>
      </c>
    </row>
    <row r="2270" spans="1:5" x14ac:dyDescent="0.25">
      <c r="A2270" t="s">
        <v>5</v>
      </c>
      <c r="B2270">
        <v>13</v>
      </c>
      <c r="C2270">
        <v>4.30553754170735E-4</v>
      </c>
      <c r="D2270">
        <v>6960</v>
      </c>
      <c r="E2270">
        <v>127.922976732254</v>
      </c>
    </row>
    <row r="2271" spans="1:5" x14ac:dyDescent="0.25">
      <c r="A2271" t="s">
        <v>6</v>
      </c>
      <c r="B2271">
        <v>13</v>
      </c>
      <c r="C2271">
        <v>5.5555244286854995E-4</v>
      </c>
      <c r="D2271">
        <v>7002</v>
      </c>
      <c r="E2271">
        <v>81.730738878250094</v>
      </c>
    </row>
    <row r="2272" spans="1:5" x14ac:dyDescent="0.25">
      <c r="A2272" t="s">
        <v>5</v>
      </c>
      <c r="B2272">
        <v>14</v>
      </c>
      <c r="C2272">
        <v>3.7036955356597898E-4</v>
      </c>
      <c r="D2272">
        <v>6960</v>
      </c>
      <c r="E2272">
        <v>170.16302251815699</v>
      </c>
    </row>
    <row r="2273" spans="1:5" x14ac:dyDescent="0.25">
      <c r="A2273" t="s">
        <v>6</v>
      </c>
      <c r="B2273">
        <v>14</v>
      </c>
      <c r="C2273">
        <v>4.25924261411031E-4</v>
      </c>
      <c r="D2273">
        <v>7002</v>
      </c>
      <c r="E2273">
        <v>98.414307594299302</v>
      </c>
    </row>
    <row r="2274" spans="1:5" x14ac:dyDescent="0.25">
      <c r="A2274" t="s">
        <v>5</v>
      </c>
      <c r="B2274">
        <v>15</v>
      </c>
      <c r="C2274">
        <v>1.0185162226359E-4</v>
      </c>
      <c r="D2274">
        <v>6960</v>
      </c>
      <c r="E2274">
        <v>164.67515563964801</v>
      </c>
    </row>
    <row r="2275" spans="1:5" x14ac:dyDescent="0.25">
      <c r="A2275" t="s">
        <v>6</v>
      </c>
      <c r="B2275">
        <v>15</v>
      </c>
      <c r="C2275">
        <v>1.11110607782999E-4</v>
      </c>
      <c r="D2275">
        <v>7002</v>
      </c>
      <c r="E2275">
        <v>98.051410913467393</v>
      </c>
    </row>
    <row r="2276" spans="1:5" x14ac:dyDescent="0.25">
      <c r="A2276" t="s">
        <v>5</v>
      </c>
      <c r="B2276">
        <v>16</v>
      </c>
      <c r="C2276">
        <v>1.0185162226359E-4</v>
      </c>
      <c r="D2276">
        <v>6960</v>
      </c>
      <c r="E2276">
        <v>162.91473126411401</v>
      </c>
    </row>
    <row r="2277" spans="1:5" x14ac:dyDescent="0.25">
      <c r="A2277" t="s">
        <v>6</v>
      </c>
      <c r="B2277">
        <v>16</v>
      </c>
      <c r="C2277" s="1">
        <v>1.8518368403116801E-5</v>
      </c>
      <c r="D2277">
        <v>7002</v>
      </c>
      <c r="E2277">
        <v>97.820697069168006</v>
      </c>
    </row>
    <row r="2278" spans="1:5" x14ac:dyDescent="0.25">
      <c r="A2278" t="s">
        <v>5</v>
      </c>
      <c r="B2278">
        <v>17</v>
      </c>
      <c r="C2278" s="1">
        <v>2.7777751286824498E-5</v>
      </c>
      <c r="D2278">
        <v>6960</v>
      </c>
      <c r="E2278">
        <v>163.320884943008</v>
      </c>
    </row>
    <row r="2279" spans="1:5" x14ac:dyDescent="0.25">
      <c r="A2279" t="s">
        <v>6</v>
      </c>
      <c r="B2279">
        <v>17</v>
      </c>
      <c r="C2279">
        <v>0</v>
      </c>
      <c r="D2279">
        <v>7002</v>
      </c>
      <c r="E2279">
        <v>97.8675985336303</v>
      </c>
    </row>
    <row r="2280" spans="1:5" x14ac:dyDescent="0.25">
      <c r="A2280" t="s">
        <v>5</v>
      </c>
      <c r="B2280">
        <v>0</v>
      </c>
      <c r="C2280">
        <v>0.188416623671849</v>
      </c>
      <c r="D2280">
        <v>6960</v>
      </c>
      <c r="E2280">
        <v>112.286007881164</v>
      </c>
    </row>
    <row r="2281" spans="1:5" x14ac:dyDescent="0.25">
      <c r="A2281" t="s">
        <v>6</v>
      </c>
      <c r="B2281">
        <v>0</v>
      </c>
      <c r="C2281">
        <v>0.18002773463725999</v>
      </c>
      <c r="D2281">
        <v>7002</v>
      </c>
      <c r="E2281">
        <v>63.625658988952601</v>
      </c>
    </row>
    <row r="2282" spans="1:5" x14ac:dyDescent="0.25">
      <c r="A2282" t="s">
        <v>5</v>
      </c>
      <c r="B2282">
        <v>1</v>
      </c>
      <c r="C2282">
        <v>0.16249995867411199</v>
      </c>
      <c r="D2282">
        <v>6960</v>
      </c>
      <c r="E2282">
        <v>111.89539861679</v>
      </c>
    </row>
    <row r="2283" spans="1:5" x14ac:dyDescent="0.25">
      <c r="A2283" t="s">
        <v>6</v>
      </c>
      <c r="B2283">
        <v>1</v>
      </c>
      <c r="C2283">
        <v>0.15824995934963201</v>
      </c>
      <c r="D2283">
        <v>7002</v>
      </c>
      <c r="E2283">
        <v>63.953679084777797</v>
      </c>
    </row>
    <row r="2284" spans="1:5" x14ac:dyDescent="0.25">
      <c r="A2284" t="s">
        <v>5</v>
      </c>
      <c r="B2284">
        <v>2</v>
      </c>
      <c r="C2284">
        <v>0.14105551362037599</v>
      </c>
      <c r="D2284">
        <v>6960</v>
      </c>
      <c r="E2284">
        <v>112.907580852508</v>
      </c>
    </row>
    <row r="2285" spans="1:5" x14ac:dyDescent="0.25">
      <c r="A2285" t="s">
        <v>6</v>
      </c>
      <c r="B2285">
        <v>2</v>
      </c>
      <c r="C2285">
        <v>0.13224995811780199</v>
      </c>
      <c r="D2285">
        <v>7002</v>
      </c>
      <c r="E2285">
        <v>63.610005855560303</v>
      </c>
    </row>
    <row r="2286" spans="1:5" x14ac:dyDescent="0.25">
      <c r="A2286" t="s">
        <v>5</v>
      </c>
      <c r="B2286">
        <v>3</v>
      </c>
      <c r="C2286">
        <v>0.12047218044598799</v>
      </c>
      <c r="D2286">
        <v>6960</v>
      </c>
      <c r="E2286">
        <v>112.523969173431</v>
      </c>
    </row>
    <row r="2287" spans="1:5" x14ac:dyDescent="0.25">
      <c r="A2287" t="s">
        <v>6</v>
      </c>
      <c r="B2287">
        <v>3</v>
      </c>
      <c r="C2287">
        <v>0.10924995779991099</v>
      </c>
      <c r="D2287">
        <v>7002</v>
      </c>
      <c r="E2287">
        <v>63.703764677047701</v>
      </c>
    </row>
    <row r="2288" spans="1:5" x14ac:dyDescent="0.25">
      <c r="A2288" t="s">
        <v>5</v>
      </c>
      <c r="B2288">
        <v>4</v>
      </c>
      <c r="C2288">
        <v>0.101833291451136</v>
      </c>
      <c r="D2288">
        <v>6960</v>
      </c>
      <c r="E2288">
        <v>111.926748037338</v>
      </c>
    </row>
    <row r="2289" spans="1:5" x14ac:dyDescent="0.25">
      <c r="A2289" t="s">
        <v>6</v>
      </c>
      <c r="B2289">
        <v>4</v>
      </c>
      <c r="C2289">
        <v>8.6194400787353506E-2</v>
      </c>
      <c r="D2289">
        <v>7002</v>
      </c>
      <c r="E2289">
        <v>63.313234567642198</v>
      </c>
    </row>
    <row r="2290" spans="1:5" x14ac:dyDescent="0.25">
      <c r="A2290" t="s">
        <v>5</v>
      </c>
      <c r="B2290">
        <v>5</v>
      </c>
      <c r="C2290">
        <v>7.8194400270779896E-2</v>
      </c>
      <c r="D2290">
        <v>6960</v>
      </c>
      <c r="E2290">
        <v>111.707947015762</v>
      </c>
    </row>
    <row r="2291" spans="1:5" x14ac:dyDescent="0.25">
      <c r="A2291" t="s">
        <v>6</v>
      </c>
      <c r="B2291">
        <v>5</v>
      </c>
      <c r="C2291">
        <v>6.55555142958959E-2</v>
      </c>
      <c r="D2291">
        <v>7002</v>
      </c>
      <c r="E2291">
        <v>64.312993764877305</v>
      </c>
    </row>
    <row r="2292" spans="1:5" x14ac:dyDescent="0.25">
      <c r="A2292" t="s">
        <v>5</v>
      </c>
      <c r="B2292">
        <v>6</v>
      </c>
      <c r="C2292">
        <v>6.1111068725585901E-2</v>
      </c>
      <c r="D2292">
        <v>6960</v>
      </c>
      <c r="E2292">
        <v>112.254770755767</v>
      </c>
    </row>
    <row r="2293" spans="1:5" x14ac:dyDescent="0.25">
      <c r="A2293" t="s">
        <v>6</v>
      </c>
      <c r="B2293">
        <v>6</v>
      </c>
      <c r="C2293">
        <v>4.8888847430547E-2</v>
      </c>
      <c r="D2293">
        <v>7002</v>
      </c>
      <c r="E2293">
        <v>64.516043424606295</v>
      </c>
    </row>
    <row r="2294" spans="1:5" x14ac:dyDescent="0.25">
      <c r="A2294" t="s">
        <v>5</v>
      </c>
      <c r="B2294">
        <v>8</v>
      </c>
      <c r="C2294">
        <v>3.6194408535957297E-2</v>
      </c>
      <c r="D2294">
        <v>6960</v>
      </c>
      <c r="E2294">
        <v>112.192310333251</v>
      </c>
    </row>
    <row r="2295" spans="1:5" x14ac:dyDescent="0.25">
      <c r="A2295" t="s">
        <v>6</v>
      </c>
      <c r="B2295">
        <v>8</v>
      </c>
      <c r="C2295">
        <v>2.3361081480979901E-2</v>
      </c>
      <c r="D2295">
        <v>7002</v>
      </c>
      <c r="E2295">
        <v>63.516308546066199</v>
      </c>
    </row>
    <row r="2296" spans="1:5" x14ac:dyDescent="0.25">
      <c r="A2296" t="s">
        <v>5</v>
      </c>
      <c r="B2296">
        <v>9</v>
      </c>
      <c r="C2296">
        <v>2.2583306233088098E-2</v>
      </c>
      <c r="D2296">
        <v>6960</v>
      </c>
      <c r="E2296">
        <v>111.817400217056</v>
      </c>
    </row>
    <row r="2297" spans="1:5" x14ac:dyDescent="0.25">
      <c r="A2297" t="s">
        <v>6</v>
      </c>
      <c r="B2297">
        <v>9</v>
      </c>
      <c r="C2297">
        <v>1.5388865272204E-2</v>
      </c>
      <c r="D2297">
        <v>7002</v>
      </c>
      <c r="E2297">
        <v>63.485065221786499</v>
      </c>
    </row>
    <row r="2298" spans="1:5" x14ac:dyDescent="0.25">
      <c r="A2298" t="s">
        <v>5</v>
      </c>
      <c r="B2298">
        <v>10</v>
      </c>
      <c r="C2298">
        <v>1.19166497389475E-2</v>
      </c>
      <c r="D2298">
        <v>6960</v>
      </c>
      <c r="E2298">
        <v>112.348212480545</v>
      </c>
    </row>
    <row r="2299" spans="1:5" x14ac:dyDescent="0.25">
      <c r="A2299" t="s">
        <v>6</v>
      </c>
      <c r="B2299">
        <v>10</v>
      </c>
      <c r="C2299">
        <v>1.16666469971338E-2</v>
      </c>
      <c r="D2299">
        <v>7002</v>
      </c>
      <c r="E2299">
        <v>63.656901121139498</v>
      </c>
    </row>
    <row r="2300" spans="1:5" x14ac:dyDescent="0.25">
      <c r="A2300" t="s">
        <v>5</v>
      </c>
      <c r="B2300">
        <v>11</v>
      </c>
      <c r="C2300">
        <v>7.2777676582336404E-3</v>
      </c>
      <c r="D2300">
        <v>6960</v>
      </c>
      <c r="E2300">
        <v>112.36417055130001</v>
      </c>
    </row>
    <row r="2301" spans="1:5" x14ac:dyDescent="0.25">
      <c r="A2301" t="s">
        <v>6</v>
      </c>
      <c r="B2301">
        <v>11</v>
      </c>
      <c r="C2301">
        <v>4.7777690490086802E-3</v>
      </c>
      <c r="D2301">
        <v>7002</v>
      </c>
      <c r="E2301">
        <v>63.438152789999997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1CAC-9149-4F45-A569-6B04EEDA6506}">
  <dimension ref="A1:BA271"/>
  <sheetViews>
    <sheetView zoomScale="55" zoomScaleNormal="55" workbookViewId="0">
      <selection activeCell="I11" sqref="I11"/>
    </sheetView>
  </sheetViews>
  <sheetFormatPr defaultRowHeight="15" x14ac:dyDescent="0.25"/>
  <cols>
    <col min="8" max="8" width="20.42578125" bestFit="1" customWidth="1"/>
    <col min="9" max="9" width="12" bestFit="1" customWidth="1"/>
    <col min="10" max="10" width="11.85546875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t="str">
        <f>A2</f>
        <v>Transformer</v>
      </c>
      <c r="J1" t="str">
        <f>A3</f>
        <v>ViterbiNet</v>
      </c>
      <c r="K1" t="str" cm="1">
        <f t="array" ref="K1:L1">I1:J1</f>
        <v>Transformer</v>
      </c>
      <c r="L1" t="str">
        <v>ViterbiNet</v>
      </c>
      <c r="N1" t="str">
        <f>I1</f>
        <v>Transformer</v>
      </c>
      <c r="O1" t="str">
        <f>J1</f>
        <v>ViterbiNet</v>
      </c>
      <c r="P1" t="str" cm="1">
        <f t="array" ref="P1:Q1">N1:O1</f>
        <v>Transformer</v>
      </c>
      <c r="Q1" t="str">
        <v>ViterbiNet</v>
      </c>
    </row>
    <row r="2" spans="1:53" x14ac:dyDescent="0.25">
      <c r="A2" t="s">
        <v>5</v>
      </c>
      <c r="B2">
        <v>15</v>
      </c>
      <c r="C2">
        <v>1.26542912589179E-4</v>
      </c>
      <c r="D2">
        <v>6960</v>
      </c>
      <c r="E2">
        <v>316.97018980979902</v>
      </c>
      <c r="H2" cm="1">
        <f t="array" ref="H2:H4">_xlfn.UNIQUE(_xlfn._xlws.FILTER($B$2:$B$37,$A$2:$A$37=I1))</f>
        <v>15</v>
      </c>
      <c r="I2" s="1" cm="1">
        <f t="array" ref="I2">AVERAGE(_xlfn._xlws.FILTER($C:$C,($A:$A=I$1)*($B:$B=$H2)))</f>
        <v>9.0260376164942382E-5</v>
      </c>
      <c r="J2" s="1" cm="1">
        <f t="array" ref="J2">AVERAGE(_xlfn._xlws.FILTER($C:$C,($A:$A=J$1)*($B:$B=$H2)))</f>
        <v>1.4279774088918394E-4</v>
      </c>
      <c r="K2" cm="1">
        <f t="array" ref="K2">COUNTA(_xlfn._xlws.FILTER($C:$C,($A:$A=I$1)*($B:$B=$H2)))</f>
        <v>45</v>
      </c>
      <c r="L2" cm="1">
        <f t="array" ref="L2">COUNTA(_xlfn._xlws.FILTER($C:$C,($A:$A=J$1)*($B:$B=$H2)))</f>
        <v>45</v>
      </c>
      <c r="M2" cm="1">
        <f t="array" ref="M2:M4">_xlfn.UNIQUE(_xlfn._xlws.FILTER($B$2:$B$37,$A$2:$A$37=N1))</f>
        <v>15</v>
      </c>
      <c r="N2" s="1" cm="1">
        <f t="array" ref="N2">AVERAGE(_xlfn._xlws.FILTER($C:$C,($A:$A=N$1)*($B:$B=$H2)*($C:$C&gt;0)))</f>
        <v>9.0260376164942382E-5</v>
      </c>
      <c r="O2" s="1" cm="1">
        <f t="array" ref="O2">AVERAGE(_xlfn._xlws.FILTER($C:$C,($A:$A=O$1)*($B:$B=$H2)*($C:$C&gt;0)))</f>
        <v>1.4279774088918394E-4</v>
      </c>
      <c r="P2" cm="1">
        <f t="array" ref="P2">COUNTA(_xlfn._xlws.FILTER($C:$C,($A:$A=N$1)*($B:$B=$H2)*($C:$C&gt;0)))</f>
        <v>45</v>
      </c>
      <c r="Q2" cm="1">
        <f t="array" ref="Q2">COUNTA(_xlfn._xlws.FILTER($C:$C,($A:$A=O$1)*($B:$B=$H2)*($C:$C&gt;0)))</f>
        <v>45</v>
      </c>
    </row>
    <row r="3" spans="1:53" x14ac:dyDescent="0.25">
      <c r="A3" t="s">
        <v>6</v>
      </c>
      <c r="B3">
        <v>15</v>
      </c>
      <c r="C3">
        <v>1.2654258145226299E-4</v>
      </c>
      <c r="D3">
        <v>7002</v>
      </c>
      <c r="E3">
        <v>198.73407363891599</v>
      </c>
      <c r="H3">
        <v>16</v>
      </c>
      <c r="I3" s="1" cm="1">
        <f t="array" ref="I3">AVERAGE(_xlfn._xlws.FILTER($C:$C,($A:$A=I$1)*($B:$B=$H3)))</f>
        <v>5.2880510871792903E-5</v>
      </c>
      <c r="J3" s="1" cm="1">
        <f t="array" ref="J3">AVERAGE(_xlfn._xlws.FILTER($C:$C,($A:$A=J$1)*($B:$B=$H3)))</f>
        <v>5.781867033169586E-5</v>
      </c>
      <c r="K3" cm="1">
        <f t="array" ref="K3">COUNTA(_xlfn._xlws.FILTER($C:$C,($A:$A=I$1)*($B:$B=$H3)))</f>
        <v>45</v>
      </c>
      <c r="L3" cm="1">
        <f t="array" ref="L3">COUNTA(_xlfn._xlws.FILTER($C:$C,($A:$A=J$1)*($B:$B=$H3)))</f>
        <v>45</v>
      </c>
      <c r="M3">
        <v>16</v>
      </c>
      <c r="N3" s="1" cm="1">
        <f t="array" ref="N3">AVERAGE(_xlfn._xlws.FILTER($C:$C,($A:$A=N$1)*($B:$B=$H3)*($C:$C&gt;0)))</f>
        <v>5.2880510871792903E-5</v>
      </c>
      <c r="O3" s="1" cm="1">
        <f t="array" ref="O3">AVERAGE(_xlfn._xlws.FILTER($C:$C,($A:$A=O$1)*($B:$B=$H3)*($C:$C&gt;0)))</f>
        <v>5.781867033169586E-5</v>
      </c>
      <c r="P3" cm="1">
        <f t="array" ref="P3">COUNTA(_xlfn._xlws.FILTER($C:$C,($A:$A=N$1)*($B:$B=$H3)*($C:$C&gt;0)))</f>
        <v>45</v>
      </c>
      <c r="Q3" cm="1">
        <f t="array" ref="Q3">COUNTA(_xlfn._xlws.FILTER($C:$C,($A:$A=O$1)*($B:$B=$H3)*($C:$C&gt;0)))</f>
        <v>45</v>
      </c>
    </row>
    <row r="4" spans="1:53" x14ac:dyDescent="0.25">
      <c r="A4" t="s">
        <v>5</v>
      </c>
      <c r="B4">
        <v>16</v>
      </c>
      <c r="C4" s="1">
        <v>4.3209791183471602E-5</v>
      </c>
      <c r="D4">
        <v>6960</v>
      </c>
      <c r="E4">
        <v>283.43674159049903</v>
      </c>
      <c r="H4">
        <v>17</v>
      </c>
      <c r="I4" s="1" cm="1">
        <f t="array" ref="I4">AVERAGE(_xlfn._xlws.FILTER($C:$C,($A:$A=I$1)*($B:$B=$H4)))</f>
        <v>2.5857267556367046E-5</v>
      </c>
      <c r="J4" s="1" cm="1">
        <f t="array" ref="J4">AVERAGE(_xlfn._xlws.FILTER($C:$C,($A:$A=J$1)*($B:$B=$H4)))</f>
        <v>2.4622661096078335E-5</v>
      </c>
      <c r="K4" cm="1">
        <f t="array" ref="K4">COUNTA(_xlfn._xlws.FILTER($C:$C,($A:$A=I$1)*($B:$B=$H4)))</f>
        <v>45</v>
      </c>
      <c r="L4" cm="1">
        <f t="array" ref="L4">COUNTA(_xlfn._xlws.FILTER($C:$C,($A:$A=J$1)*($B:$B=$H4)))</f>
        <v>45</v>
      </c>
      <c r="M4">
        <v>17</v>
      </c>
      <c r="N4" s="1" cm="1">
        <f t="array" ref="N4">AVERAGE(_xlfn._xlws.FILTER($C:$C,($A:$A=N$1)*($B:$B=$H4)*($C:$C&gt;0)))</f>
        <v>3.1448028109095056E-5</v>
      </c>
      <c r="O4" s="1" cm="1">
        <f t="array" ref="O4">AVERAGE(_xlfn._xlws.FILTER($C:$C,($A:$A=O$1)*($B:$B=$H4)*($C:$C&gt;0)))</f>
        <v>2.4622661096078335E-5</v>
      </c>
      <c r="P4" cm="1">
        <f t="array" ref="P4">COUNTA(_xlfn._xlws.FILTER($C:$C,($A:$A=N$1)*($B:$B=$H4)*($C:$C&gt;0)))</f>
        <v>37</v>
      </c>
      <c r="Q4" cm="1">
        <f t="array" ref="Q4">COUNTA(_xlfn._xlws.FILTER($C:$C,($A:$A=O$1)*($B:$B=$H4)*($C:$C&gt;0)))</f>
        <v>45</v>
      </c>
    </row>
    <row r="5" spans="1:53" x14ac:dyDescent="0.25">
      <c r="A5" t="s">
        <v>6</v>
      </c>
      <c r="B5">
        <v>16</v>
      </c>
      <c r="C5" s="1">
        <v>5.55553038914998E-5</v>
      </c>
      <c r="D5">
        <v>7002</v>
      </c>
      <c r="E5">
        <v>195.88226866722101</v>
      </c>
    </row>
    <row r="6" spans="1:53" x14ac:dyDescent="0.25">
      <c r="A6" t="s">
        <v>5</v>
      </c>
      <c r="B6">
        <v>17</v>
      </c>
      <c r="C6" s="1">
        <v>2.46912903255886E-5</v>
      </c>
      <c r="D6">
        <v>6960</v>
      </c>
      <c r="E6">
        <v>279.09891629218998</v>
      </c>
    </row>
    <row r="7" spans="1:53" x14ac:dyDescent="0.25">
      <c r="A7" t="s">
        <v>6</v>
      </c>
      <c r="B7">
        <v>17</v>
      </c>
      <c r="C7" s="1">
        <v>1.23455789354112E-5</v>
      </c>
      <c r="D7">
        <v>7002</v>
      </c>
      <c r="E7">
        <v>196.085081577301</v>
      </c>
    </row>
    <row r="8" spans="1:53" x14ac:dyDescent="0.25">
      <c r="A8" t="s">
        <v>5</v>
      </c>
      <c r="B8">
        <v>15</v>
      </c>
      <c r="C8" s="1">
        <v>9.2592371834648897E-5</v>
      </c>
      <c r="D8">
        <v>6960</v>
      </c>
      <c r="E8">
        <v>279.75309681892298</v>
      </c>
    </row>
    <row r="9" spans="1:53" x14ac:dyDescent="0.25">
      <c r="A9" t="s">
        <v>6</v>
      </c>
      <c r="B9">
        <v>15</v>
      </c>
      <c r="C9">
        <v>1.6666577921973301E-4</v>
      </c>
      <c r="D9">
        <v>7002</v>
      </c>
      <c r="E9">
        <v>202.53931403159999</v>
      </c>
    </row>
    <row r="10" spans="1:53" x14ac:dyDescent="0.25">
      <c r="A10" t="s">
        <v>5</v>
      </c>
      <c r="B10">
        <v>16</v>
      </c>
      <c r="C10">
        <v>1.11110806465148E-4</v>
      </c>
      <c r="D10">
        <v>6960</v>
      </c>
      <c r="E10">
        <v>279.60733628272999</v>
      </c>
      <c r="H10">
        <v>15</v>
      </c>
    </row>
    <row r="11" spans="1:53" x14ac:dyDescent="0.25">
      <c r="A11" t="s">
        <v>6</v>
      </c>
      <c r="B11">
        <v>16</v>
      </c>
      <c r="C11" s="1">
        <v>3.7036869260999799E-5</v>
      </c>
      <c r="D11">
        <v>7002</v>
      </c>
      <c r="E11">
        <v>197.62581205367999</v>
      </c>
      <c r="H11" t="str">
        <f>$I$1</f>
        <v>Transformer</v>
      </c>
      <c r="I11" cm="1">
        <f t="array" ref="I11:BA11">TRANSPOSE(_xlfn._xlws.FILTER($C:$C,($A:$A=$H11)*($B:$B=$H10)))</f>
        <v>1.26542912589179E-4</v>
      </c>
      <c r="J11">
        <v>9.2592371834648897E-5</v>
      </c>
      <c r="K11">
        <v>1.9753025637732601E-4</v>
      </c>
      <c r="L11">
        <v>7.4073804749382794E-5</v>
      </c>
      <c r="M11">
        <v>8.0246792899237699E-5</v>
      </c>
      <c r="N11">
        <v>7.0987476242913097E-5</v>
      </c>
      <c r="O11">
        <v>6.4814620547824396E-5</v>
      </c>
      <c r="P11">
        <v>3.3950474527146999E-5</v>
      </c>
      <c r="Q11">
        <v>8.0246792899237699E-5</v>
      </c>
      <c r="R11">
        <v>7.7160265710618696E-5</v>
      </c>
      <c r="S11">
        <v>4.01233302222357E-5</v>
      </c>
      <c r="T11">
        <v>1.17283529705471E-4</v>
      </c>
      <c r="U11">
        <v>4.32097249560885E-5</v>
      </c>
      <c r="V11">
        <v>2.4074011378818E-4</v>
      </c>
      <c r="W11">
        <v>7.0987476242913097E-5</v>
      </c>
      <c r="X11">
        <v>1.01851556036207E-4</v>
      </c>
      <c r="Y11">
        <v>5.8641831080118803E-5</v>
      </c>
      <c r="Z11">
        <v>6.7900949054294093E-5</v>
      </c>
      <c r="AA11">
        <v>8.3333121405707397E-5</v>
      </c>
      <c r="AB11">
        <v>1.0493801699744299E-4</v>
      </c>
      <c r="AC11">
        <v>7.0987542470296198E-5</v>
      </c>
      <c r="AD11">
        <v>8.9505977100796098E-5</v>
      </c>
      <c r="AE11">
        <v>1.2037012312147301E-4</v>
      </c>
      <c r="AF11">
        <v>1.3580216301812E-4</v>
      </c>
      <c r="AG11">
        <v>7.4073804749382794E-5</v>
      </c>
      <c r="AH11">
        <v>5.2469041612413197E-5</v>
      </c>
      <c r="AI11">
        <v>5.2468909157647E-5</v>
      </c>
      <c r="AJ11">
        <v>1.0802427927652899E-4</v>
      </c>
      <c r="AK11">
        <v>4.01233302222357E-5</v>
      </c>
      <c r="AL11">
        <v>1.4506134721967899E-4</v>
      </c>
      <c r="AM11">
        <v>9.5678634113735602E-5</v>
      </c>
      <c r="AN11">
        <v>5.8641831080118803E-5</v>
      </c>
      <c r="AO11">
        <v>1.9135733445485399E-4</v>
      </c>
      <c r="AP11">
        <v>4.3209791183471602E-5</v>
      </c>
      <c r="AQ11">
        <v>6.1728292041354698E-5</v>
      </c>
      <c r="AR11">
        <v>7.0987410015529995E-5</v>
      </c>
      <c r="AS11">
        <v>5.5555370118882902E-5</v>
      </c>
      <c r="AT11">
        <v>7.0987410015529995E-5</v>
      </c>
      <c r="AU11">
        <v>1.66666176584031E-4</v>
      </c>
      <c r="AV11">
        <v>1.17283662160237E-4</v>
      </c>
      <c r="AW11">
        <v>6.7900949054294093E-5</v>
      </c>
      <c r="AX11">
        <v>7.0987476242913097E-5</v>
      </c>
      <c r="AY11">
        <v>1.2962930732303101E-4</v>
      </c>
      <c r="AZ11">
        <v>1.04938083224826E-4</v>
      </c>
      <c r="BA11">
        <v>4.01232639948527E-5</v>
      </c>
    </row>
    <row r="12" spans="1:53" x14ac:dyDescent="0.25">
      <c r="A12" t="s">
        <v>5</v>
      </c>
      <c r="B12">
        <v>17</v>
      </c>
      <c r="C12" s="1">
        <v>1.54320398966471E-5</v>
      </c>
      <c r="D12">
        <v>6960</v>
      </c>
      <c r="E12">
        <v>278.06903553008999</v>
      </c>
      <c r="H12" t="str">
        <f>$J$1</f>
        <v>ViterbiNet</v>
      </c>
      <c r="I12" cm="1">
        <f t="array" ref="I12:BA12">TRANSPOSE(_xlfn._xlws.FILTER($C:$C,($A:$A=$H12)*($B:$B=$H10)))</f>
        <v>1.2654258145226299E-4</v>
      </c>
      <c r="J12">
        <v>1.6666577921973301E-4</v>
      </c>
      <c r="K12">
        <v>2.00616386201646E-4</v>
      </c>
      <c r="L12">
        <v>8.9505712191263799E-5</v>
      </c>
      <c r="M12">
        <v>1.29629174868265E-4</v>
      </c>
      <c r="N12">
        <v>1.0493788454267699E-4</v>
      </c>
      <c r="O12">
        <v>8.9505844646030003E-5</v>
      </c>
      <c r="P12">
        <v>8.6419383684794101E-5</v>
      </c>
      <c r="Q12">
        <v>1.01851423581441E-4</v>
      </c>
      <c r="R12">
        <v>1.2654278013441201E-4</v>
      </c>
      <c r="S12">
        <v>1.17283463478088E-4</v>
      </c>
      <c r="T12">
        <v>2.9012236330244197E-4</v>
      </c>
      <c r="U12">
        <v>1.3271550337473501E-4</v>
      </c>
      <c r="V12">
        <v>3.3024569352467801E-4</v>
      </c>
      <c r="W12">
        <v>2.7469012472364598E-4</v>
      </c>
      <c r="X12">
        <v>1.0802427927652899E-4</v>
      </c>
      <c r="Y12">
        <v>2.65431072976854E-4</v>
      </c>
      <c r="Z12">
        <v>2.03702847162882E-4</v>
      </c>
      <c r="AA12">
        <v>1.17283397250705E-4</v>
      </c>
      <c r="AB12">
        <v>1.3271550337473501E-4</v>
      </c>
      <c r="AC12">
        <v>7.4073672294616699E-5</v>
      </c>
      <c r="AD12">
        <v>1.8827080726623499E-4</v>
      </c>
      <c r="AE12">
        <v>3.6728236410352898E-4</v>
      </c>
      <c r="AF12">
        <v>9.2592106925116599E-5</v>
      </c>
      <c r="AG12">
        <v>9.56785678863525E-5</v>
      </c>
      <c r="AH12">
        <v>6.4814554320441294E-5</v>
      </c>
      <c r="AI12">
        <v>1.01851423581441E-4</v>
      </c>
      <c r="AJ12">
        <v>1.17283331023322E-4</v>
      </c>
      <c r="AK12">
        <v>1.8827074103885201E-4</v>
      </c>
      <c r="AL12">
        <v>1.72838899824354E-4</v>
      </c>
      <c r="AM12">
        <v>1.17283397250705E-4</v>
      </c>
      <c r="AN12">
        <v>1.5432026651170501E-4</v>
      </c>
      <c r="AO12">
        <v>8.3332988950941302E-5</v>
      </c>
      <c r="AP12">
        <v>1.01851489808824E-4</v>
      </c>
      <c r="AQ12">
        <v>1.63579450713263E-4</v>
      </c>
      <c r="AR12">
        <v>2.6234467824300101E-4</v>
      </c>
      <c r="AS12">
        <v>7.7160199483235594E-5</v>
      </c>
      <c r="AT12">
        <v>8.0246594217088394E-5</v>
      </c>
      <c r="AU12">
        <v>1.08024345503913E-4</v>
      </c>
      <c r="AV12">
        <v>9.8765028847588401E-5</v>
      </c>
      <c r="AW12">
        <v>1.01851423581441E-4</v>
      </c>
      <c r="AX12">
        <v>1.5740659501817399E-4</v>
      </c>
      <c r="AY12">
        <v>9.5678501658969398E-5</v>
      </c>
      <c r="AZ12">
        <v>8.6419317457410999E-5</v>
      </c>
      <c r="BA12">
        <v>8.0246395534939197E-5</v>
      </c>
    </row>
    <row r="13" spans="1:53" x14ac:dyDescent="0.25">
      <c r="A13" t="s">
        <v>6</v>
      </c>
      <c r="B13">
        <v>17</v>
      </c>
      <c r="C13" s="1">
        <v>1.8518368403116801E-5</v>
      </c>
      <c r="D13">
        <v>7002</v>
      </c>
      <c r="E13">
        <v>196.576024532318</v>
      </c>
      <c r="H13" t="str">
        <f>H11&amp;"(average)"</f>
        <v>Transformer(average)</v>
      </c>
      <c r="I13" s="1" cm="1">
        <f t="array" ref="I13">AVERAGE(TRANSPOSE(_xlfn._xlws.FILTER($C:$C,($A:$A=$H11)*($B:$B=$H10))))</f>
        <v>9.0260376164942382E-5</v>
      </c>
      <c r="J13" s="1">
        <f>I13</f>
        <v>9.0260376164942382E-5</v>
      </c>
      <c r="K13" s="1">
        <f t="shared" ref="K13:BA14" si="0">J13</f>
        <v>9.0260376164942382E-5</v>
      </c>
      <c r="L13" s="1">
        <f t="shared" si="0"/>
        <v>9.0260376164942382E-5</v>
      </c>
      <c r="M13" s="1">
        <f t="shared" si="0"/>
        <v>9.0260376164942382E-5</v>
      </c>
      <c r="N13" s="1">
        <f t="shared" si="0"/>
        <v>9.0260376164942382E-5</v>
      </c>
      <c r="O13" s="1">
        <f t="shared" si="0"/>
        <v>9.0260376164942382E-5</v>
      </c>
      <c r="P13" s="1">
        <f t="shared" si="0"/>
        <v>9.0260376164942382E-5</v>
      </c>
      <c r="Q13" s="1">
        <f t="shared" si="0"/>
        <v>9.0260376164942382E-5</v>
      </c>
      <c r="R13" s="1">
        <f t="shared" si="0"/>
        <v>9.0260376164942382E-5</v>
      </c>
      <c r="S13" s="1">
        <f t="shared" si="0"/>
        <v>9.0260376164942382E-5</v>
      </c>
      <c r="T13" s="1">
        <f t="shared" si="0"/>
        <v>9.0260376164942382E-5</v>
      </c>
      <c r="U13" s="1">
        <f t="shared" si="0"/>
        <v>9.0260376164942382E-5</v>
      </c>
      <c r="V13" s="1">
        <f t="shared" si="0"/>
        <v>9.0260376164942382E-5</v>
      </c>
      <c r="W13" s="1">
        <f t="shared" si="0"/>
        <v>9.0260376164942382E-5</v>
      </c>
      <c r="X13" s="1">
        <f t="shared" si="0"/>
        <v>9.0260376164942382E-5</v>
      </c>
      <c r="Y13" s="1">
        <f t="shared" si="0"/>
        <v>9.0260376164942382E-5</v>
      </c>
      <c r="Z13" s="1">
        <f t="shared" si="0"/>
        <v>9.0260376164942382E-5</v>
      </c>
      <c r="AA13" s="1">
        <f t="shared" si="0"/>
        <v>9.0260376164942382E-5</v>
      </c>
      <c r="AB13" s="1">
        <f t="shared" si="0"/>
        <v>9.0260376164942382E-5</v>
      </c>
      <c r="AC13" s="1">
        <f t="shared" si="0"/>
        <v>9.0260376164942382E-5</v>
      </c>
      <c r="AD13" s="1">
        <f t="shared" si="0"/>
        <v>9.0260376164942382E-5</v>
      </c>
      <c r="AE13" s="1">
        <f t="shared" si="0"/>
        <v>9.0260376164942382E-5</v>
      </c>
      <c r="AF13" s="1">
        <f t="shared" si="0"/>
        <v>9.0260376164942382E-5</v>
      </c>
      <c r="AG13" s="1">
        <f t="shared" si="0"/>
        <v>9.0260376164942382E-5</v>
      </c>
      <c r="AH13" s="1">
        <f t="shared" si="0"/>
        <v>9.0260376164942382E-5</v>
      </c>
      <c r="AI13" s="1">
        <f t="shared" si="0"/>
        <v>9.0260376164942382E-5</v>
      </c>
      <c r="AJ13" s="1">
        <f t="shared" si="0"/>
        <v>9.0260376164942382E-5</v>
      </c>
      <c r="AK13" s="1">
        <f t="shared" si="0"/>
        <v>9.0260376164942382E-5</v>
      </c>
      <c r="AL13" s="1">
        <f t="shared" si="0"/>
        <v>9.0260376164942382E-5</v>
      </c>
      <c r="AM13" s="1">
        <f t="shared" si="0"/>
        <v>9.0260376164942382E-5</v>
      </c>
      <c r="AN13" s="1">
        <f t="shared" si="0"/>
        <v>9.0260376164942382E-5</v>
      </c>
      <c r="AO13" s="1">
        <f t="shared" si="0"/>
        <v>9.0260376164942382E-5</v>
      </c>
      <c r="AP13" s="1">
        <f t="shared" si="0"/>
        <v>9.0260376164942382E-5</v>
      </c>
      <c r="AQ13" s="1">
        <f t="shared" si="0"/>
        <v>9.0260376164942382E-5</v>
      </c>
      <c r="AR13" s="1">
        <f t="shared" si="0"/>
        <v>9.0260376164942382E-5</v>
      </c>
      <c r="AS13" s="1">
        <f t="shared" si="0"/>
        <v>9.0260376164942382E-5</v>
      </c>
      <c r="AT13" s="1">
        <f t="shared" si="0"/>
        <v>9.0260376164942382E-5</v>
      </c>
      <c r="AU13" s="1">
        <f t="shared" si="0"/>
        <v>9.0260376164942382E-5</v>
      </c>
      <c r="AV13" s="1">
        <f t="shared" si="0"/>
        <v>9.0260376164942382E-5</v>
      </c>
      <c r="AW13" s="1">
        <f t="shared" si="0"/>
        <v>9.0260376164942382E-5</v>
      </c>
      <c r="AX13" s="1">
        <f t="shared" si="0"/>
        <v>9.0260376164942382E-5</v>
      </c>
      <c r="AY13" s="1">
        <f t="shared" si="0"/>
        <v>9.0260376164942382E-5</v>
      </c>
      <c r="AZ13" s="1">
        <f t="shared" si="0"/>
        <v>9.0260376164942382E-5</v>
      </c>
      <c r="BA13" s="1">
        <f t="shared" si="0"/>
        <v>9.0260376164942382E-5</v>
      </c>
    </row>
    <row r="14" spans="1:53" x14ac:dyDescent="0.25">
      <c r="A14" t="s">
        <v>5</v>
      </c>
      <c r="B14">
        <v>15</v>
      </c>
      <c r="C14">
        <v>1.9753025637732601E-4</v>
      </c>
      <c r="D14">
        <v>6960</v>
      </c>
      <c r="E14">
        <v>282.19494605064301</v>
      </c>
      <c r="H14" t="str">
        <f>H12&amp;"(average)"</f>
        <v>ViterbiNet(average)</v>
      </c>
      <c r="I14" s="1" cm="1">
        <f t="array" ref="I14">AVERAGE(TRANSPOSE(_xlfn._xlws.FILTER($C:$C,($A:$A=$H12)*($B:$B=$H10))))</f>
        <v>1.4279774088918394E-4</v>
      </c>
      <c r="J14" s="1">
        <f>I14</f>
        <v>1.4279774088918394E-4</v>
      </c>
      <c r="K14" s="1">
        <f t="shared" si="0"/>
        <v>1.4279774088918394E-4</v>
      </c>
      <c r="L14" s="1">
        <f t="shared" si="0"/>
        <v>1.4279774088918394E-4</v>
      </c>
      <c r="M14" s="1">
        <f t="shared" si="0"/>
        <v>1.4279774088918394E-4</v>
      </c>
      <c r="N14" s="1">
        <f t="shared" si="0"/>
        <v>1.4279774088918394E-4</v>
      </c>
      <c r="O14" s="1">
        <f t="shared" si="0"/>
        <v>1.4279774088918394E-4</v>
      </c>
      <c r="P14" s="1">
        <f t="shared" si="0"/>
        <v>1.4279774088918394E-4</v>
      </c>
      <c r="Q14" s="1">
        <f t="shared" si="0"/>
        <v>1.4279774088918394E-4</v>
      </c>
      <c r="R14" s="1">
        <f t="shared" si="0"/>
        <v>1.4279774088918394E-4</v>
      </c>
      <c r="S14" s="1">
        <f t="shared" si="0"/>
        <v>1.4279774088918394E-4</v>
      </c>
      <c r="T14" s="1">
        <f t="shared" si="0"/>
        <v>1.4279774088918394E-4</v>
      </c>
      <c r="U14" s="1">
        <f t="shared" si="0"/>
        <v>1.4279774088918394E-4</v>
      </c>
      <c r="V14" s="1">
        <f t="shared" si="0"/>
        <v>1.4279774088918394E-4</v>
      </c>
      <c r="W14" s="1">
        <f t="shared" si="0"/>
        <v>1.4279774088918394E-4</v>
      </c>
      <c r="X14" s="1">
        <f t="shared" si="0"/>
        <v>1.4279774088918394E-4</v>
      </c>
      <c r="Y14" s="1">
        <f t="shared" si="0"/>
        <v>1.4279774088918394E-4</v>
      </c>
      <c r="Z14" s="1">
        <f t="shared" si="0"/>
        <v>1.4279774088918394E-4</v>
      </c>
      <c r="AA14" s="1">
        <f t="shared" si="0"/>
        <v>1.4279774088918394E-4</v>
      </c>
      <c r="AB14" s="1">
        <f t="shared" si="0"/>
        <v>1.4279774088918394E-4</v>
      </c>
      <c r="AC14" s="1">
        <f t="shared" si="0"/>
        <v>1.4279774088918394E-4</v>
      </c>
      <c r="AD14" s="1">
        <f t="shared" si="0"/>
        <v>1.4279774088918394E-4</v>
      </c>
      <c r="AE14" s="1">
        <f t="shared" si="0"/>
        <v>1.4279774088918394E-4</v>
      </c>
      <c r="AF14" s="1">
        <f t="shared" si="0"/>
        <v>1.4279774088918394E-4</v>
      </c>
      <c r="AG14" s="1">
        <f t="shared" si="0"/>
        <v>1.4279774088918394E-4</v>
      </c>
      <c r="AH14" s="1">
        <f t="shared" si="0"/>
        <v>1.4279774088918394E-4</v>
      </c>
      <c r="AI14" s="1">
        <f t="shared" si="0"/>
        <v>1.4279774088918394E-4</v>
      </c>
      <c r="AJ14" s="1">
        <f t="shared" si="0"/>
        <v>1.4279774088918394E-4</v>
      </c>
      <c r="AK14" s="1">
        <f t="shared" si="0"/>
        <v>1.4279774088918394E-4</v>
      </c>
      <c r="AL14" s="1">
        <f t="shared" si="0"/>
        <v>1.4279774088918394E-4</v>
      </c>
      <c r="AM14" s="1">
        <f t="shared" si="0"/>
        <v>1.4279774088918394E-4</v>
      </c>
      <c r="AN14" s="1">
        <f t="shared" si="0"/>
        <v>1.4279774088918394E-4</v>
      </c>
      <c r="AO14" s="1">
        <f t="shared" si="0"/>
        <v>1.4279774088918394E-4</v>
      </c>
      <c r="AP14" s="1">
        <f t="shared" si="0"/>
        <v>1.4279774088918394E-4</v>
      </c>
      <c r="AQ14" s="1">
        <f t="shared" si="0"/>
        <v>1.4279774088918394E-4</v>
      </c>
      <c r="AR14" s="1">
        <f t="shared" si="0"/>
        <v>1.4279774088918394E-4</v>
      </c>
      <c r="AS14" s="1">
        <f t="shared" si="0"/>
        <v>1.4279774088918394E-4</v>
      </c>
      <c r="AT14" s="1">
        <f t="shared" si="0"/>
        <v>1.4279774088918394E-4</v>
      </c>
      <c r="AU14" s="1">
        <f t="shared" si="0"/>
        <v>1.4279774088918394E-4</v>
      </c>
      <c r="AV14" s="1">
        <f t="shared" si="0"/>
        <v>1.4279774088918394E-4</v>
      </c>
      <c r="AW14" s="1">
        <f t="shared" si="0"/>
        <v>1.4279774088918394E-4</v>
      </c>
      <c r="AX14" s="1">
        <f t="shared" si="0"/>
        <v>1.4279774088918394E-4</v>
      </c>
      <c r="AY14" s="1">
        <f t="shared" si="0"/>
        <v>1.4279774088918394E-4</v>
      </c>
      <c r="AZ14" s="1">
        <f t="shared" si="0"/>
        <v>1.4279774088918394E-4</v>
      </c>
      <c r="BA14" s="1">
        <f t="shared" si="0"/>
        <v>1.4279774088918394E-4</v>
      </c>
    </row>
    <row r="15" spans="1:53" x14ac:dyDescent="0.25">
      <c r="A15" t="s">
        <v>6</v>
      </c>
      <c r="B15">
        <v>15</v>
      </c>
      <c r="C15">
        <v>2.00616386201646E-4</v>
      </c>
      <c r="D15">
        <v>7002</v>
      </c>
      <c r="E15">
        <v>204.28369522094701</v>
      </c>
    </row>
    <row r="16" spans="1:53" x14ac:dyDescent="0.25">
      <c r="A16" t="s">
        <v>5</v>
      </c>
      <c r="B16">
        <v>16</v>
      </c>
      <c r="C16" s="1">
        <v>4.3209791183471602E-5</v>
      </c>
      <c r="D16">
        <v>6960</v>
      </c>
      <c r="E16">
        <v>278.18866109848</v>
      </c>
      <c r="H16">
        <v>16</v>
      </c>
    </row>
    <row r="17" spans="1:53" x14ac:dyDescent="0.25">
      <c r="A17" t="s">
        <v>6</v>
      </c>
      <c r="B17">
        <v>16</v>
      </c>
      <c r="C17">
        <v>1.01851489808824E-4</v>
      </c>
      <c r="D17">
        <v>7002</v>
      </c>
      <c r="E17">
        <v>196.45659756660399</v>
      </c>
      <c r="H17" t="str">
        <f>$I$1</f>
        <v>Transformer</v>
      </c>
      <c r="I17" cm="1">
        <f t="array" ref="I17:BA17">TRANSPOSE(_xlfn._xlws.FILTER($C:$C,($A:$A=$H17)*($B:$B=$H16)))</f>
        <v>4.3209791183471602E-5</v>
      </c>
      <c r="J17">
        <v>1.11110806465148E-4</v>
      </c>
      <c r="K17">
        <v>4.3209791183471602E-5</v>
      </c>
      <c r="L17">
        <v>9.8765095074971503E-5</v>
      </c>
      <c r="M17">
        <v>2.77776850594414E-5</v>
      </c>
      <c r="N17">
        <v>2.46912903255886E-5</v>
      </c>
      <c r="O17">
        <v>5.5555436346265997E-5</v>
      </c>
      <c r="P17">
        <v>7.7160331938001798E-5</v>
      </c>
      <c r="Q17">
        <v>1.54320398966471E-5</v>
      </c>
      <c r="R17">
        <v>2.4691224098205499E-5</v>
      </c>
      <c r="S17">
        <v>2.77776850594414E-5</v>
      </c>
      <c r="T17">
        <v>1.23456451627943E-5</v>
      </c>
      <c r="U17">
        <v>1.23456451627943E-4</v>
      </c>
      <c r="V17">
        <v>7.7160331938001798E-5</v>
      </c>
      <c r="W17">
        <v>5.5555436346265997E-5</v>
      </c>
      <c r="X17">
        <v>1.23456451627943E-5</v>
      </c>
      <c r="Y17">
        <v>4.9382580651177302E-5</v>
      </c>
      <c r="Z17">
        <v>1.54320398966471E-5</v>
      </c>
      <c r="AA17">
        <v>3.7036935488382901E-5</v>
      </c>
      <c r="AB17">
        <v>8.6419582366943298E-5</v>
      </c>
      <c r="AC17">
        <v>1.23456451627943E-5</v>
      </c>
      <c r="AD17">
        <v>4.01233302222357E-5</v>
      </c>
      <c r="AE17">
        <v>1.8518434630499899E-5</v>
      </c>
      <c r="AF17">
        <v>2.1604829364352699E-5</v>
      </c>
      <c r="AG17">
        <v>1.6975257131788399E-4</v>
      </c>
      <c r="AH17">
        <v>6.1728225813971596E-5</v>
      </c>
      <c r="AI17">
        <v>2.1604829364352699E-5</v>
      </c>
      <c r="AJ17">
        <v>1.54320398966471E-5</v>
      </c>
      <c r="AK17">
        <v>1.8518434630499899E-5</v>
      </c>
      <c r="AL17">
        <v>3.7036869260999799E-5</v>
      </c>
      <c r="AM17">
        <v>9.5678634113735602E-5</v>
      </c>
      <c r="AN17">
        <v>7.7160265710618696E-5</v>
      </c>
      <c r="AO17">
        <v>2.77776850594414E-5</v>
      </c>
      <c r="AP17">
        <v>9.2592438062031999E-5</v>
      </c>
      <c r="AQ17">
        <v>1.23456451627943E-5</v>
      </c>
      <c r="AR17">
        <v>4.9382514423794201E-5</v>
      </c>
      <c r="AS17">
        <v>2.46912903255886E-5</v>
      </c>
      <c r="AT17">
        <v>2.0678970548841601E-4</v>
      </c>
      <c r="AU17">
        <v>2.77776850594414E-5</v>
      </c>
      <c r="AV17">
        <v>6.7901081509060297E-5</v>
      </c>
      <c r="AW17">
        <v>7.7160331938001798E-5</v>
      </c>
      <c r="AX17">
        <v>4.3209791183471602E-5</v>
      </c>
      <c r="AY17">
        <v>7.0987476242913097E-5</v>
      </c>
      <c r="AZ17">
        <v>1.54320398966471E-5</v>
      </c>
      <c r="BA17">
        <v>5.5555370118882902E-5</v>
      </c>
    </row>
    <row r="18" spans="1:53" x14ac:dyDescent="0.25">
      <c r="A18" t="s">
        <v>5</v>
      </c>
      <c r="B18">
        <v>17</v>
      </c>
      <c r="C18" s="1">
        <v>1.54320398966471E-5</v>
      </c>
      <c r="D18">
        <v>6960</v>
      </c>
      <c r="E18">
        <v>281.39559864997801</v>
      </c>
      <c r="H18" t="str">
        <f>$J$1</f>
        <v>ViterbiNet</v>
      </c>
      <c r="I18" cm="1">
        <f t="array" ref="I18:BA18">TRANSPOSE(_xlfn._xlws.FILTER($C:$C,($A:$A=$H18)*($B:$B=$H16)))</f>
        <v>5.55553038914998E-5</v>
      </c>
      <c r="J18">
        <v>3.7036869260999799E-5</v>
      </c>
      <c r="K18">
        <v>1.01851489808824E-4</v>
      </c>
      <c r="L18">
        <v>6.1728093359205406E-5</v>
      </c>
      <c r="M18">
        <v>4.6296053462558299E-5</v>
      </c>
      <c r="N18">
        <v>6.1728093359205406E-5</v>
      </c>
      <c r="O18">
        <v>8.9505778418646901E-5</v>
      </c>
      <c r="P18">
        <v>2.77776850594414E-5</v>
      </c>
      <c r="Q18">
        <v>4.6296053462558299E-5</v>
      </c>
      <c r="R18">
        <v>8.3332988950941302E-5</v>
      </c>
      <c r="S18">
        <v>2.77776850594414E-5</v>
      </c>
      <c r="T18">
        <v>4.6296119689941401E-5</v>
      </c>
      <c r="U18">
        <v>7.0987277560763805E-5</v>
      </c>
      <c r="V18">
        <v>2.4691224098205499E-5</v>
      </c>
      <c r="W18">
        <v>7.4073804749382794E-5</v>
      </c>
      <c r="X18">
        <v>8.3332988950941302E-5</v>
      </c>
      <c r="Y18">
        <v>7.7160133255852506E-5</v>
      </c>
      <c r="Z18">
        <v>6.1728159586588494E-5</v>
      </c>
      <c r="AA18">
        <v>7.0987410015529995E-5</v>
      </c>
      <c r="AB18">
        <v>8.33329227235582E-5</v>
      </c>
      <c r="AC18">
        <v>8.6419449912177095E-5</v>
      </c>
      <c r="AD18">
        <v>6.4814488093058206E-5</v>
      </c>
      <c r="AE18">
        <v>8.0246461762322298E-5</v>
      </c>
      <c r="AF18">
        <v>4.01232639948527E-5</v>
      </c>
      <c r="AG18">
        <v>6.7900882826911005E-5</v>
      </c>
      <c r="AH18">
        <v>4.3209592501322398E-5</v>
      </c>
      <c r="AI18">
        <v>5.2468975385030102E-5</v>
      </c>
      <c r="AJ18">
        <v>4.32096587287055E-5</v>
      </c>
      <c r="AK18">
        <v>6.4814620547824396E-5</v>
      </c>
      <c r="AL18">
        <v>4.9382514423794201E-5</v>
      </c>
      <c r="AM18">
        <v>3.0864013565911098E-5</v>
      </c>
      <c r="AN18">
        <v>1.8518368403116801E-5</v>
      </c>
      <c r="AO18">
        <v>8.6419383684794101E-5</v>
      </c>
      <c r="AP18">
        <v>4.0123197767469598E-5</v>
      </c>
      <c r="AQ18">
        <v>4.6296053462558299E-5</v>
      </c>
      <c r="AR18">
        <v>4.32097249560885E-5</v>
      </c>
      <c r="AS18">
        <v>8.3333055178324295E-5</v>
      </c>
      <c r="AT18">
        <v>7.0987277560763805E-5</v>
      </c>
      <c r="AU18">
        <v>8.9505844646030003E-5</v>
      </c>
      <c r="AV18">
        <v>6.4814554320441294E-5</v>
      </c>
      <c r="AW18">
        <v>3.7036869260999799E-5</v>
      </c>
      <c r="AX18">
        <v>4.6295987235175198E-5</v>
      </c>
      <c r="AY18">
        <v>4.32096587287055E-5</v>
      </c>
      <c r="AZ18">
        <v>2.7777618832058302E-5</v>
      </c>
      <c r="BA18">
        <v>4.9382514423794201E-5</v>
      </c>
    </row>
    <row r="19" spans="1:53" x14ac:dyDescent="0.25">
      <c r="A19" t="s">
        <v>6</v>
      </c>
      <c r="B19">
        <v>17</v>
      </c>
      <c r="C19" s="1">
        <v>2.1604895591735801E-5</v>
      </c>
      <c r="D19">
        <v>7002</v>
      </c>
      <c r="E19">
        <v>199.28565645217799</v>
      </c>
      <c r="H19" t="str">
        <f>H17&amp;"(average)"</f>
        <v>Transformer(average)</v>
      </c>
      <c r="I19" s="1" cm="1">
        <f t="array" ref="I19">AVERAGE(TRANSPOSE(_xlfn._xlws.FILTER($C:$C,($A:$A=$H17)*($B:$B=$H16))))</f>
        <v>5.2880510871792903E-5</v>
      </c>
      <c r="J19" s="1">
        <f>I19</f>
        <v>5.2880510871792903E-5</v>
      </c>
      <c r="K19" s="1">
        <f t="shared" ref="K19:BA19" si="1">J19</f>
        <v>5.2880510871792903E-5</v>
      </c>
      <c r="L19" s="1">
        <f t="shared" si="1"/>
        <v>5.2880510871792903E-5</v>
      </c>
      <c r="M19" s="1">
        <f t="shared" si="1"/>
        <v>5.2880510871792903E-5</v>
      </c>
      <c r="N19" s="1">
        <f t="shared" si="1"/>
        <v>5.2880510871792903E-5</v>
      </c>
      <c r="O19" s="1">
        <f t="shared" si="1"/>
        <v>5.2880510871792903E-5</v>
      </c>
      <c r="P19" s="1">
        <f t="shared" si="1"/>
        <v>5.2880510871792903E-5</v>
      </c>
      <c r="Q19" s="1">
        <f t="shared" si="1"/>
        <v>5.2880510871792903E-5</v>
      </c>
      <c r="R19" s="1">
        <f t="shared" si="1"/>
        <v>5.2880510871792903E-5</v>
      </c>
      <c r="S19" s="1">
        <f t="shared" si="1"/>
        <v>5.2880510871792903E-5</v>
      </c>
      <c r="T19" s="1">
        <f t="shared" si="1"/>
        <v>5.2880510871792903E-5</v>
      </c>
      <c r="U19" s="1">
        <f t="shared" si="1"/>
        <v>5.2880510871792903E-5</v>
      </c>
      <c r="V19" s="1">
        <f t="shared" si="1"/>
        <v>5.2880510871792903E-5</v>
      </c>
      <c r="W19" s="1">
        <f t="shared" si="1"/>
        <v>5.2880510871792903E-5</v>
      </c>
      <c r="X19" s="1">
        <f t="shared" si="1"/>
        <v>5.2880510871792903E-5</v>
      </c>
      <c r="Y19" s="1">
        <f t="shared" si="1"/>
        <v>5.2880510871792903E-5</v>
      </c>
      <c r="Z19" s="1">
        <f t="shared" si="1"/>
        <v>5.2880510871792903E-5</v>
      </c>
      <c r="AA19" s="1">
        <f t="shared" si="1"/>
        <v>5.2880510871792903E-5</v>
      </c>
      <c r="AB19" s="1">
        <f t="shared" si="1"/>
        <v>5.2880510871792903E-5</v>
      </c>
      <c r="AC19" s="1">
        <f t="shared" si="1"/>
        <v>5.2880510871792903E-5</v>
      </c>
      <c r="AD19" s="1">
        <f t="shared" si="1"/>
        <v>5.2880510871792903E-5</v>
      </c>
      <c r="AE19" s="1">
        <f t="shared" si="1"/>
        <v>5.2880510871792903E-5</v>
      </c>
      <c r="AF19" s="1">
        <f t="shared" si="1"/>
        <v>5.2880510871792903E-5</v>
      </c>
      <c r="AG19" s="1">
        <f t="shared" si="1"/>
        <v>5.2880510871792903E-5</v>
      </c>
      <c r="AH19" s="1">
        <f t="shared" si="1"/>
        <v>5.2880510871792903E-5</v>
      </c>
      <c r="AI19" s="1">
        <f t="shared" si="1"/>
        <v>5.2880510871792903E-5</v>
      </c>
      <c r="AJ19" s="1">
        <f t="shared" si="1"/>
        <v>5.2880510871792903E-5</v>
      </c>
      <c r="AK19" s="1">
        <f t="shared" si="1"/>
        <v>5.2880510871792903E-5</v>
      </c>
      <c r="AL19" s="1">
        <f t="shared" si="1"/>
        <v>5.2880510871792903E-5</v>
      </c>
      <c r="AM19" s="1">
        <f t="shared" si="1"/>
        <v>5.2880510871792903E-5</v>
      </c>
      <c r="AN19" s="1">
        <f t="shared" si="1"/>
        <v>5.2880510871792903E-5</v>
      </c>
      <c r="AO19" s="1">
        <f t="shared" si="1"/>
        <v>5.2880510871792903E-5</v>
      </c>
      <c r="AP19" s="1">
        <f t="shared" si="1"/>
        <v>5.2880510871792903E-5</v>
      </c>
      <c r="AQ19" s="1">
        <f t="shared" si="1"/>
        <v>5.2880510871792903E-5</v>
      </c>
      <c r="AR19" s="1">
        <f t="shared" si="1"/>
        <v>5.2880510871792903E-5</v>
      </c>
      <c r="AS19" s="1">
        <f t="shared" si="1"/>
        <v>5.2880510871792903E-5</v>
      </c>
      <c r="AT19" s="1">
        <f t="shared" si="1"/>
        <v>5.2880510871792903E-5</v>
      </c>
      <c r="AU19" s="1">
        <f t="shared" si="1"/>
        <v>5.2880510871792903E-5</v>
      </c>
      <c r="AV19" s="1">
        <f t="shared" si="1"/>
        <v>5.2880510871792903E-5</v>
      </c>
      <c r="AW19" s="1">
        <f t="shared" si="1"/>
        <v>5.2880510871792903E-5</v>
      </c>
      <c r="AX19" s="1">
        <f t="shared" si="1"/>
        <v>5.2880510871792903E-5</v>
      </c>
      <c r="AY19" s="1">
        <f t="shared" si="1"/>
        <v>5.2880510871792903E-5</v>
      </c>
      <c r="AZ19" s="1">
        <f t="shared" si="1"/>
        <v>5.2880510871792903E-5</v>
      </c>
      <c r="BA19" s="1">
        <f t="shared" si="1"/>
        <v>5.2880510871792903E-5</v>
      </c>
    </row>
    <row r="20" spans="1:53" x14ac:dyDescent="0.25">
      <c r="A20" t="s">
        <v>5</v>
      </c>
      <c r="B20">
        <v>15</v>
      </c>
      <c r="C20" s="1">
        <v>7.4073804749382794E-5</v>
      </c>
      <c r="D20">
        <v>6960</v>
      </c>
      <c r="E20">
        <v>280.62385272979702</v>
      </c>
      <c r="H20" t="str">
        <f>H18&amp;"(average)"</f>
        <v>ViterbiNet(average)</v>
      </c>
      <c r="I20" s="1" cm="1">
        <f t="array" ref="I20">AVERAGE(TRANSPOSE(_xlfn._xlws.FILTER($C:$C,($A:$A=$H18)*($B:$B=$H16))))</f>
        <v>5.781867033169586E-5</v>
      </c>
      <c r="J20" s="1">
        <f>I20</f>
        <v>5.781867033169586E-5</v>
      </c>
      <c r="K20" s="1">
        <f t="shared" ref="K20:BA20" si="2">J20</f>
        <v>5.781867033169586E-5</v>
      </c>
      <c r="L20" s="1">
        <f t="shared" si="2"/>
        <v>5.781867033169586E-5</v>
      </c>
      <c r="M20" s="1">
        <f t="shared" si="2"/>
        <v>5.781867033169586E-5</v>
      </c>
      <c r="N20" s="1">
        <f t="shared" si="2"/>
        <v>5.781867033169586E-5</v>
      </c>
      <c r="O20" s="1">
        <f t="shared" si="2"/>
        <v>5.781867033169586E-5</v>
      </c>
      <c r="P20" s="1">
        <f t="shared" si="2"/>
        <v>5.781867033169586E-5</v>
      </c>
      <c r="Q20" s="1">
        <f t="shared" si="2"/>
        <v>5.781867033169586E-5</v>
      </c>
      <c r="R20" s="1">
        <f t="shared" si="2"/>
        <v>5.781867033169586E-5</v>
      </c>
      <c r="S20" s="1">
        <f t="shared" si="2"/>
        <v>5.781867033169586E-5</v>
      </c>
      <c r="T20" s="1">
        <f t="shared" si="2"/>
        <v>5.781867033169586E-5</v>
      </c>
      <c r="U20" s="1">
        <f t="shared" si="2"/>
        <v>5.781867033169586E-5</v>
      </c>
      <c r="V20" s="1">
        <f t="shared" si="2"/>
        <v>5.781867033169586E-5</v>
      </c>
      <c r="W20" s="1">
        <f t="shared" si="2"/>
        <v>5.781867033169586E-5</v>
      </c>
      <c r="X20" s="1">
        <f t="shared" si="2"/>
        <v>5.781867033169586E-5</v>
      </c>
      <c r="Y20" s="1">
        <f t="shared" si="2"/>
        <v>5.781867033169586E-5</v>
      </c>
      <c r="Z20" s="1">
        <f t="shared" si="2"/>
        <v>5.781867033169586E-5</v>
      </c>
      <c r="AA20" s="1">
        <f t="shared" si="2"/>
        <v>5.781867033169586E-5</v>
      </c>
      <c r="AB20" s="1">
        <f t="shared" si="2"/>
        <v>5.781867033169586E-5</v>
      </c>
      <c r="AC20" s="1">
        <f t="shared" si="2"/>
        <v>5.781867033169586E-5</v>
      </c>
      <c r="AD20" s="1">
        <f t="shared" si="2"/>
        <v>5.781867033169586E-5</v>
      </c>
      <c r="AE20" s="1">
        <f t="shared" si="2"/>
        <v>5.781867033169586E-5</v>
      </c>
      <c r="AF20" s="1">
        <f t="shared" si="2"/>
        <v>5.781867033169586E-5</v>
      </c>
      <c r="AG20" s="1">
        <f t="shared" si="2"/>
        <v>5.781867033169586E-5</v>
      </c>
      <c r="AH20" s="1">
        <f t="shared" si="2"/>
        <v>5.781867033169586E-5</v>
      </c>
      <c r="AI20" s="1">
        <f t="shared" si="2"/>
        <v>5.781867033169586E-5</v>
      </c>
      <c r="AJ20" s="1">
        <f t="shared" si="2"/>
        <v>5.781867033169586E-5</v>
      </c>
      <c r="AK20" s="1">
        <f t="shared" si="2"/>
        <v>5.781867033169586E-5</v>
      </c>
      <c r="AL20" s="1">
        <f t="shared" si="2"/>
        <v>5.781867033169586E-5</v>
      </c>
      <c r="AM20" s="1">
        <f t="shared" si="2"/>
        <v>5.781867033169586E-5</v>
      </c>
      <c r="AN20" s="1">
        <f t="shared" si="2"/>
        <v>5.781867033169586E-5</v>
      </c>
      <c r="AO20" s="1">
        <f t="shared" si="2"/>
        <v>5.781867033169586E-5</v>
      </c>
      <c r="AP20" s="1">
        <f t="shared" si="2"/>
        <v>5.781867033169586E-5</v>
      </c>
      <c r="AQ20" s="1">
        <f t="shared" si="2"/>
        <v>5.781867033169586E-5</v>
      </c>
      <c r="AR20" s="1">
        <f t="shared" si="2"/>
        <v>5.781867033169586E-5</v>
      </c>
      <c r="AS20" s="1">
        <f t="shared" si="2"/>
        <v>5.781867033169586E-5</v>
      </c>
      <c r="AT20" s="1">
        <f t="shared" si="2"/>
        <v>5.781867033169586E-5</v>
      </c>
      <c r="AU20" s="1">
        <f t="shared" si="2"/>
        <v>5.781867033169586E-5</v>
      </c>
      <c r="AV20" s="1">
        <f t="shared" si="2"/>
        <v>5.781867033169586E-5</v>
      </c>
      <c r="AW20" s="1">
        <f t="shared" si="2"/>
        <v>5.781867033169586E-5</v>
      </c>
      <c r="AX20" s="1">
        <f t="shared" si="2"/>
        <v>5.781867033169586E-5</v>
      </c>
      <c r="AY20" s="1">
        <f t="shared" si="2"/>
        <v>5.781867033169586E-5</v>
      </c>
      <c r="AZ20" s="1">
        <f t="shared" si="2"/>
        <v>5.781867033169586E-5</v>
      </c>
      <c r="BA20" s="1">
        <f t="shared" si="2"/>
        <v>5.781867033169586E-5</v>
      </c>
    </row>
    <row r="21" spans="1:53" x14ac:dyDescent="0.25">
      <c r="A21" t="s">
        <v>6</v>
      </c>
      <c r="B21">
        <v>15</v>
      </c>
      <c r="C21" s="1">
        <v>8.9505712191263799E-5</v>
      </c>
      <c r="D21">
        <v>7002</v>
      </c>
      <c r="E21">
        <v>197.340231657028</v>
      </c>
      <c r="H21">
        <v>17</v>
      </c>
    </row>
    <row r="22" spans="1:53" x14ac:dyDescent="0.25">
      <c r="A22" t="s">
        <v>5</v>
      </c>
      <c r="B22">
        <v>16</v>
      </c>
      <c r="C22" s="1">
        <v>9.8765095074971503E-5</v>
      </c>
      <c r="D22">
        <v>6960</v>
      </c>
      <c r="E22">
        <v>277.29551100730799</v>
      </c>
      <c r="H22" t="str">
        <f>$I$1</f>
        <v>Transformer</v>
      </c>
      <c r="I22" cm="1">
        <f t="array" ref="I22:BA22">TRANSPOSE(_xlfn._xlws.FILTER($C:$C,($A:$A=$H22)*($B:$B=$H21)))+0.0000001</f>
        <v>2.4791290325588599E-5</v>
      </c>
      <c r="J22">
        <v>1.5532039896647099E-5</v>
      </c>
      <c r="K22">
        <v>1.5532039896647099E-5</v>
      </c>
      <c r="L22">
        <v>1.5532039896647099E-5</v>
      </c>
      <c r="M22">
        <v>5.25690416124132E-5</v>
      </c>
      <c r="N22">
        <v>3.4050540754530103E-5</v>
      </c>
      <c r="O22">
        <v>1.8618434630499898E-5</v>
      </c>
      <c r="P22">
        <v>4.3309724956088502E-5</v>
      </c>
      <c r="Q22">
        <v>1.5532039896647099E-5</v>
      </c>
      <c r="R22">
        <v>2.4791290325588599E-5</v>
      </c>
      <c r="S22">
        <v>5.2568975385030105E-5</v>
      </c>
      <c r="T22">
        <v>1.2445645162794301E-5</v>
      </c>
      <c r="U22">
        <v>1.2445645162794301E-5</v>
      </c>
      <c r="V22">
        <v>1.2445645162794301E-5</v>
      </c>
      <c r="W22">
        <v>7.7260265710618698E-5</v>
      </c>
      <c r="X22">
        <v>2.4791356552971698E-5</v>
      </c>
      <c r="Y22">
        <v>9.3592504289415115E-6</v>
      </c>
      <c r="Z22">
        <v>9.3592504289415115E-6</v>
      </c>
      <c r="AA22">
        <v>9.9999999999999995E-8</v>
      </c>
      <c r="AB22">
        <v>2.4791290325588599E-5</v>
      </c>
      <c r="AC22">
        <v>9.9999999999999995E-8</v>
      </c>
      <c r="AD22">
        <v>3.0964079793294202E-5</v>
      </c>
      <c r="AE22">
        <v>1.2445645162794301E-5</v>
      </c>
      <c r="AF22">
        <v>1.32815702056884E-4</v>
      </c>
      <c r="AG22">
        <v>1.5532039896647099E-5</v>
      </c>
      <c r="AH22">
        <v>5.5655436346265999E-5</v>
      </c>
      <c r="AI22">
        <v>4.3309791183471604E-5</v>
      </c>
      <c r="AJ22">
        <v>9.9999999999999995E-8</v>
      </c>
      <c r="AK22">
        <v>2.4791290325588599E-5</v>
      </c>
      <c r="AL22">
        <v>6.2727894677056203E-6</v>
      </c>
      <c r="AM22">
        <v>9.9999999999999995E-8</v>
      </c>
      <c r="AN22">
        <v>2.4791290325588599E-5</v>
      </c>
      <c r="AO22">
        <v>8.6519516139560199E-5</v>
      </c>
      <c r="AP22">
        <v>3.7136935488382903E-5</v>
      </c>
      <c r="AQ22">
        <v>9.9999999999999995E-8</v>
      </c>
      <c r="AR22">
        <v>2.4791290325588599E-5</v>
      </c>
      <c r="AS22">
        <v>9.9999999999999995E-8</v>
      </c>
      <c r="AT22">
        <v>9.3592504289415115E-6</v>
      </c>
      <c r="AU22">
        <v>5.25690416124132E-5</v>
      </c>
      <c r="AV22">
        <v>9.9999999999999995E-8</v>
      </c>
      <c r="AW22">
        <v>1.2445578935411201E-5</v>
      </c>
      <c r="AX22">
        <v>9.9999999999999995E-8</v>
      </c>
      <c r="AY22">
        <v>9.3592504289415115E-6</v>
      </c>
      <c r="AZ22">
        <v>4.3309724956088502E-5</v>
      </c>
      <c r="BA22">
        <v>4.9482580651177305E-5</v>
      </c>
    </row>
    <row r="23" spans="1:53" x14ac:dyDescent="0.25">
      <c r="A23" t="s">
        <v>6</v>
      </c>
      <c r="B23">
        <v>16</v>
      </c>
      <c r="C23" s="1">
        <v>6.1728093359205406E-5</v>
      </c>
      <c r="D23">
        <v>7002</v>
      </c>
      <c r="E23">
        <v>196.18681430816599</v>
      </c>
      <c r="H23" t="str">
        <f>$J$1</f>
        <v>ViterbiNet</v>
      </c>
      <c r="I23" cm="1">
        <f t="array" ref="I23:BA23">TRANSPOSE(_xlfn._xlws.FILTER($C:$C,($A:$A=$H23)*($B:$B=$H21)))+0.000001</f>
        <v>1.3345578935411201E-5</v>
      </c>
      <c r="J23">
        <v>1.9518368403116802E-5</v>
      </c>
      <c r="K23">
        <v>2.2604895591735801E-5</v>
      </c>
      <c r="L23">
        <v>1.95184346304999E-5</v>
      </c>
      <c r="M23">
        <v>2.5691290325588601E-5</v>
      </c>
      <c r="N23">
        <v>3.1864013565911095E-5</v>
      </c>
      <c r="O23">
        <v>3.8036869260999796E-5</v>
      </c>
      <c r="P23">
        <v>2.5691224098205499E-5</v>
      </c>
      <c r="Q23">
        <v>1.64320398966471E-5</v>
      </c>
      <c r="R23">
        <v>2.26048293643527E-5</v>
      </c>
      <c r="S23">
        <v>3.1864013565911095E-5</v>
      </c>
      <c r="T23">
        <v>7.1727894677056201E-6</v>
      </c>
      <c r="U23">
        <v>1.3345578935411201E-5</v>
      </c>
      <c r="V23">
        <v>1.0259250428941511E-5</v>
      </c>
      <c r="W23">
        <v>7.1727894677056201E-6</v>
      </c>
      <c r="X23">
        <v>2.8777685059441401E-5</v>
      </c>
      <c r="Y23">
        <v>1.9518500857883002E-5</v>
      </c>
      <c r="Z23">
        <v>3.8036869260999796E-5</v>
      </c>
      <c r="AA23">
        <v>2.5691224098205499E-5</v>
      </c>
      <c r="AB23">
        <v>3.8036869260999796E-5</v>
      </c>
      <c r="AC23">
        <v>7.1727894677056201E-6</v>
      </c>
      <c r="AD23">
        <v>4.7296119689941398E-5</v>
      </c>
      <c r="AE23">
        <v>4.1123263994852697E-5</v>
      </c>
      <c r="AF23">
        <v>3.4950474527146996E-5</v>
      </c>
      <c r="AG23">
        <v>1.0259250428941511E-5</v>
      </c>
      <c r="AH23">
        <v>3.4950474527146996E-5</v>
      </c>
      <c r="AI23">
        <v>4.7296119689941398E-5</v>
      </c>
      <c r="AJ23">
        <v>2.8777618832058302E-5</v>
      </c>
      <c r="AK23">
        <v>5.0382448196411096E-5</v>
      </c>
      <c r="AL23">
        <v>1.95184346304999E-5</v>
      </c>
      <c r="AM23">
        <v>1.95184346304999E-5</v>
      </c>
      <c r="AN23">
        <v>1.95184346304999E-5</v>
      </c>
      <c r="AO23">
        <v>1.9518500857883002E-5</v>
      </c>
      <c r="AP23">
        <v>3.8036869260999796E-5</v>
      </c>
      <c r="AQ23">
        <v>7.1727894677056201E-6</v>
      </c>
      <c r="AR23">
        <v>7.1727894677056201E-6</v>
      </c>
      <c r="AS23">
        <v>2.2604895591735801E-5</v>
      </c>
      <c r="AT23">
        <v>3.1864079793294197E-5</v>
      </c>
      <c r="AU23">
        <v>3.4950474527146996E-5</v>
      </c>
      <c r="AV23">
        <v>3.4950474527146996E-5</v>
      </c>
      <c r="AW23">
        <v>1.9518368403116802E-5</v>
      </c>
      <c r="AX23">
        <v>1.95184346304999E-5</v>
      </c>
      <c r="AY23">
        <v>5.0382514423794198E-5</v>
      </c>
      <c r="AZ23">
        <v>3.1864079793294197E-5</v>
      </c>
      <c r="BA23">
        <v>1.9518500857883002E-5</v>
      </c>
    </row>
    <row r="24" spans="1:53" x14ac:dyDescent="0.25">
      <c r="A24" t="s">
        <v>5</v>
      </c>
      <c r="B24">
        <v>17</v>
      </c>
      <c r="C24" s="1">
        <v>1.54320398966471E-5</v>
      </c>
      <c r="D24">
        <v>6960</v>
      </c>
      <c r="E24">
        <v>278.11954092979403</v>
      </c>
      <c r="H24" t="str">
        <f>H22&amp;"(average)"</f>
        <v>Transformer(average)</v>
      </c>
      <c r="I24" s="1">
        <f>AVERAGE(_xlfn.ANCHORARRAY(I22))</f>
        <v>2.5957267556367052E-5</v>
      </c>
      <c r="J24" s="1">
        <f>I24</f>
        <v>2.5957267556367052E-5</v>
      </c>
      <c r="K24" s="1">
        <f t="shared" ref="K24:BA24" si="3">J24</f>
        <v>2.5957267556367052E-5</v>
      </c>
      <c r="L24" s="1">
        <f t="shared" si="3"/>
        <v>2.5957267556367052E-5</v>
      </c>
      <c r="M24" s="1">
        <f t="shared" si="3"/>
        <v>2.5957267556367052E-5</v>
      </c>
      <c r="N24" s="1">
        <f t="shared" si="3"/>
        <v>2.5957267556367052E-5</v>
      </c>
      <c r="O24" s="1">
        <f t="shared" si="3"/>
        <v>2.5957267556367052E-5</v>
      </c>
      <c r="P24" s="1">
        <f t="shared" si="3"/>
        <v>2.5957267556367052E-5</v>
      </c>
      <c r="Q24" s="1">
        <f t="shared" si="3"/>
        <v>2.5957267556367052E-5</v>
      </c>
      <c r="R24" s="1">
        <f t="shared" si="3"/>
        <v>2.5957267556367052E-5</v>
      </c>
      <c r="S24" s="1">
        <f t="shared" si="3"/>
        <v>2.5957267556367052E-5</v>
      </c>
      <c r="T24" s="1">
        <f t="shared" si="3"/>
        <v>2.5957267556367052E-5</v>
      </c>
      <c r="U24" s="1">
        <f t="shared" si="3"/>
        <v>2.5957267556367052E-5</v>
      </c>
      <c r="V24" s="1">
        <f t="shared" si="3"/>
        <v>2.5957267556367052E-5</v>
      </c>
      <c r="W24" s="1">
        <f t="shared" si="3"/>
        <v>2.5957267556367052E-5</v>
      </c>
      <c r="X24" s="1">
        <f t="shared" si="3"/>
        <v>2.5957267556367052E-5</v>
      </c>
      <c r="Y24" s="1">
        <f t="shared" si="3"/>
        <v>2.5957267556367052E-5</v>
      </c>
      <c r="Z24" s="1">
        <f t="shared" si="3"/>
        <v>2.5957267556367052E-5</v>
      </c>
      <c r="AA24" s="1">
        <f t="shared" si="3"/>
        <v>2.5957267556367052E-5</v>
      </c>
      <c r="AB24" s="1">
        <f t="shared" si="3"/>
        <v>2.5957267556367052E-5</v>
      </c>
      <c r="AC24" s="1">
        <f t="shared" si="3"/>
        <v>2.5957267556367052E-5</v>
      </c>
      <c r="AD24" s="1">
        <f t="shared" si="3"/>
        <v>2.5957267556367052E-5</v>
      </c>
      <c r="AE24" s="1">
        <f t="shared" si="3"/>
        <v>2.5957267556367052E-5</v>
      </c>
      <c r="AF24" s="1">
        <f t="shared" si="3"/>
        <v>2.5957267556367052E-5</v>
      </c>
      <c r="AG24" s="1">
        <f t="shared" si="3"/>
        <v>2.5957267556367052E-5</v>
      </c>
      <c r="AH24" s="1">
        <f t="shared" si="3"/>
        <v>2.5957267556367052E-5</v>
      </c>
      <c r="AI24" s="1">
        <f t="shared" si="3"/>
        <v>2.5957267556367052E-5</v>
      </c>
      <c r="AJ24" s="1">
        <f t="shared" si="3"/>
        <v>2.5957267556367052E-5</v>
      </c>
      <c r="AK24" s="1">
        <f t="shared" si="3"/>
        <v>2.5957267556367052E-5</v>
      </c>
      <c r="AL24" s="1">
        <f t="shared" si="3"/>
        <v>2.5957267556367052E-5</v>
      </c>
      <c r="AM24" s="1">
        <f t="shared" si="3"/>
        <v>2.5957267556367052E-5</v>
      </c>
      <c r="AN24" s="1">
        <f t="shared" si="3"/>
        <v>2.5957267556367052E-5</v>
      </c>
      <c r="AO24" s="1">
        <f t="shared" si="3"/>
        <v>2.5957267556367052E-5</v>
      </c>
      <c r="AP24" s="1">
        <f t="shared" si="3"/>
        <v>2.5957267556367052E-5</v>
      </c>
      <c r="AQ24" s="1">
        <f t="shared" si="3"/>
        <v>2.5957267556367052E-5</v>
      </c>
      <c r="AR24" s="1">
        <f t="shared" si="3"/>
        <v>2.5957267556367052E-5</v>
      </c>
      <c r="AS24" s="1">
        <f t="shared" si="3"/>
        <v>2.5957267556367052E-5</v>
      </c>
      <c r="AT24" s="1">
        <f t="shared" si="3"/>
        <v>2.5957267556367052E-5</v>
      </c>
      <c r="AU24" s="1">
        <f t="shared" si="3"/>
        <v>2.5957267556367052E-5</v>
      </c>
      <c r="AV24" s="1">
        <f t="shared" si="3"/>
        <v>2.5957267556367052E-5</v>
      </c>
      <c r="AW24" s="1">
        <f t="shared" si="3"/>
        <v>2.5957267556367052E-5</v>
      </c>
      <c r="AX24" s="1">
        <f t="shared" si="3"/>
        <v>2.5957267556367052E-5</v>
      </c>
      <c r="AY24" s="1">
        <f t="shared" si="3"/>
        <v>2.5957267556367052E-5</v>
      </c>
      <c r="AZ24" s="1">
        <f t="shared" si="3"/>
        <v>2.5957267556367052E-5</v>
      </c>
      <c r="BA24" s="1">
        <f t="shared" si="3"/>
        <v>2.5957267556367052E-5</v>
      </c>
    </row>
    <row r="25" spans="1:53" x14ac:dyDescent="0.25">
      <c r="A25" t="s">
        <v>6</v>
      </c>
      <c r="B25">
        <v>17</v>
      </c>
      <c r="C25" s="1">
        <v>1.8518434630499899E-5</v>
      </c>
      <c r="D25">
        <v>7002</v>
      </c>
      <c r="E25">
        <v>197.009929895401</v>
      </c>
      <c r="H25" t="str">
        <f>H23&amp;"(average)"</f>
        <v>ViterbiNet(average)</v>
      </c>
      <c r="I25" s="1">
        <f>AVERAGE(_xlfn.ANCHORARRAY(I23))</f>
        <v>2.5622661096078335E-5</v>
      </c>
      <c r="J25" s="1">
        <f>I25</f>
        <v>2.5622661096078335E-5</v>
      </c>
      <c r="K25" s="1">
        <f t="shared" ref="K25:BA25" si="4">J25</f>
        <v>2.5622661096078335E-5</v>
      </c>
      <c r="L25" s="1">
        <f t="shared" si="4"/>
        <v>2.5622661096078335E-5</v>
      </c>
      <c r="M25" s="1">
        <f t="shared" si="4"/>
        <v>2.5622661096078335E-5</v>
      </c>
      <c r="N25" s="1">
        <f t="shared" si="4"/>
        <v>2.5622661096078335E-5</v>
      </c>
      <c r="O25" s="1">
        <f t="shared" si="4"/>
        <v>2.5622661096078335E-5</v>
      </c>
      <c r="P25" s="1">
        <f t="shared" si="4"/>
        <v>2.5622661096078335E-5</v>
      </c>
      <c r="Q25" s="1">
        <f t="shared" si="4"/>
        <v>2.5622661096078335E-5</v>
      </c>
      <c r="R25" s="1">
        <f t="shared" si="4"/>
        <v>2.5622661096078335E-5</v>
      </c>
      <c r="S25" s="1">
        <f t="shared" si="4"/>
        <v>2.5622661096078335E-5</v>
      </c>
      <c r="T25" s="1">
        <f t="shared" si="4"/>
        <v>2.5622661096078335E-5</v>
      </c>
      <c r="U25" s="1">
        <f t="shared" si="4"/>
        <v>2.5622661096078335E-5</v>
      </c>
      <c r="V25" s="1">
        <f t="shared" si="4"/>
        <v>2.5622661096078335E-5</v>
      </c>
      <c r="W25" s="1">
        <f t="shared" si="4"/>
        <v>2.5622661096078335E-5</v>
      </c>
      <c r="X25" s="1">
        <f t="shared" si="4"/>
        <v>2.5622661096078335E-5</v>
      </c>
      <c r="Y25" s="1">
        <f t="shared" si="4"/>
        <v>2.5622661096078335E-5</v>
      </c>
      <c r="Z25" s="1">
        <f t="shared" si="4"/>
        <v>2.5622661096078335E-5</v>
      </c>
      <c r="AA25" s="1">
        <f t="shared" si="4"/>
        <v>2.5622661096078335E-5</v>
      </c>
      <c r="AB25" s="1">
        <f t="shared" si="4"/>
        <v>2.5622661096078335E-5</v>
      </c>
      <c r="AC25" s="1">
        <f t="shared" si="4"/>
        <v>2.5622661096078335E-5</v>
      </c>
      <c r="AD25" s="1">
        <f t="shared" si="4"/>
        <v>2.5622661096078335E-5</v>
      </c>
      <c r="AE25" s="1">
        <f t="shared" si="4"/>
        <v>2.5622661096078335E-5</v>
      </c>
      <c r="AF25" s="1">
        <f t="shared" si="4"/>
        <v>2.5622661096078335E-5</v>
      </c>
      <c r="AG25" s="1">
        <f t="shared" si="4"/>
        <v>2.5622661096078335E-5</v>
      </c>
      <c r="AH25" s="1">
        <f t="shared" si="4"/>
        <v>2.5622661096078335E-5</v>
      </c>
      <c r="AI25" s="1">
        <f t="shared" si="4"/>
        <v>2.5622661096078335E-5</v>
      </c>
      <c r="AJ25" s="1">
        <f t="shared" si="4"/>
        <v>2.5622661096078335E-5</v>
      </c>
      <c r="AK25" s="1">
        <f t="shared" si="4"/>
        <v>2.5622661096078335E-5</v>
      </c>
      <c r="AL25" s="1">
        <f t="shared" si="4"/>
        <v>2.5622661096078335E-5</v>
      </c>
      <c r="AM25" s="1">
        <f t="shared" si="4"/>
        <v>2.5622661096078335E-5</v>
      </c>
      <c r="AN25" s="1">
        <f t="shared" si="4"/>
        <v>2.5622661096078335E-5</v>
      </c>
      <c r="AO25" s="1">
        <f t="shared" si="4"/>
        <v>2.5622661096078335E-5</v>
      </c>
      <c r="AP25" s="1">
        <f t="shared" si="4"/>
        <v>2.5622661096078335E-5</v>
      </c>
      <c r="AQ25" s="1">
        <f t="shared" si="4"/>
        <v>2.5622661096078335E-5</v>
      </c>
      <c r="AR25" s="1">
        <f t="shared" si="4"/>
        <v>2.5622661096078335E-5</v>
      </c>
      <c r="AS25" s="1">
        <f t="shared" si="4"/>
        <v>2.5622661096078335E-5</v>
      </c>
      <c r="AT25" s="1">
        <f t="shared" si="4"/>
        <v>2.5622661096078335E-5</v>
      </c>
      <c r="AU25" s="1">
        <f t="shared" si="4"/>
        <v>2.5622661096078335E-5</v>
      </c>
      <c r="AV25" s="1">
        <f t="shared" si="4"/>
        <v>2.5622661096078335E-5</v>
      </c>
      <c r="AW25" s="1">
        <f t="shared" si="4"/>
        <v>2.5622661096078335E-5</v>
      </c>
      <c r="AX25" s="1">
        <f t="shared" si="4"/>
        <v>2.5622661096078335E-5</v>
      </c>
      <c r="AY25" s="1">
        <f t="shared" si="4"/>
        <v>2.5622661096078335E-5</v>
      </c>
      <c r="AZ25" s="1">
        <f t="shared" si="4"/>
        <v>2.5622661096078335E-5</v>
      </c>
      <c r="BA25" s="1">
        <f t="shared" si="4"/>
        <v>2.5622661096078335E-5</v>
      </c>
    </row>
    <row r="26" spans="1:53" x14ac:dyDescent="0.25">
      <c r="A26" t="s">
        <v>5</v>
      </c>
      <c r="B26">
        <v>15</v>
      </c>
      <c r="C26" s="1">
        <v>8.0246792899237699E-5</v>
      </c>
      <c r="D26">
        <v>6960</v>
      </c>
      <c r="E26">
        <v>278.339753866195</v>
      </c>
    </row>
    <row r="27" spans="1:53" x14ac:dyDescent="0.25">
      <c r="A27" t="s">
        <v>6</v>
      </c>
      <c r="B27">
        <v>15</v>
      </c>
      <c r="C27">
        <v>1.29629174868265E-4</v>
      </c>
      <c r="D27">
        <v>7002</v>
      </c>
      <c r="E27">
        <v>196.84125924110401</v>
      </c>
    </row>
    <row r="28" spans="1:53" x14ac:dyDescent="0.25">
      <c r="A28" t="s">
        <v>5</v>
      </c>
      <c r="B28">
        <v>16</v>
      </c>
      <c r="C28" s="1">
        <v>2.77776850594414E-5</v>
      </c>
      <c r="D28">
        <v>6960</v>
      </c>
      <c r="E28">
        <v>299.18095636367798</v>
      </c>
    </row>
    <row r="29" spans="1:53" x14ac:dyDescent="0.25">
      <c r="A29" t="s">
        <v>6</v>
      </c>
      <c r="B29">
        <v>16</v>
      </c>
      <c r="C29" s="1">
        <v>4.6296053462558299E-5</v>
      </c>
      <c r="D29">
        <v>7002</v>
      </c>
      <c r="E29">
        <v>198.52336716651899</v>
      </c>
      <c r="H29" t="str">
        <f>"Transformer Vs Viterbi SNR="&amp;H10&amp;"dB"</f>
        <v>Transformer Vs Viterbi SNR=15dB</v>
      </c>
      <c r="P29" t="str">
        <f>"Transformer Vs Viterbi SNR="&amp;H16&amp;"dB"</f>
        <v>Transformer Vs Viterbi SNR=16dB</v>
      </c>
      <c r="AA29" t="str">
        <f>"Transformer Vs Viterbi SNR="&amp;H21&amp;"dB"</f>
        <v>Transformer Vs Viterbi SNR=17dB</v>
      </c>
    </row>
    <row r="30" spans="1:53" x14ac:dyDescent="0.25">
      <c r="A30" t="s">
        <v>5</v>
      </c>
      <c r="B30">
        <v>17</v>
      </c>
      <c r="C30" s="1">
        <v>5.2469041612413197E-5</v>
      </c>
      <c r="D30">
        <v>6960</v>
      </c>
      <c r="E30">
        <v>281.414135217666</v>
      </c>
    </row>
    <row r="31" spans="1:53" x14ac:dyDescent="0.25">
      <c r="A31" t="s">
        <v>6</v>
      </c>
      <c r="B31">
        <v>17</v>
      </c>
      <c r="C31" s="1">
        <v>2.46912903255886E-5</v>
      </c>
      <c r="D31">
        <v>7002</v>
      </c>
      <c r="E31">
        <v>197.64130544662399</v>
      </c>
    </row>
    <row r="32" spans="1:53" x14ac:dyDescent="0.25">
      <c r="A32" t="s">
        <v>5</v>
      </c>
      <c r="B32">
        <v>15</v>
      </c>
      <c r="C32" s="1">
        <v>7.0987476242913097E-5</v>
      </c>
      <c r="D32">
        <v>6960</v>
      </c>
      <c r="E32">
        <v>284.804970502853</v>
      </c>
    </row>
    <row r="33" spans="1:5" x14ac:dyDescent="0.25">
      <c r="A33" t="s">
        <v>6</v>
      </c>
      <c r="B33">
        <v>15</v>
      </c>
      <c r="C33">
        <v>1.0493788454267699E-4</v>
      </c>
      <c r="D33">
        <v>7002</v>
      </c>
      <c r="E33">
        <v>205.29891967773401</v>
      </c>
    </row>
    <row r="34" spans="1:5" x14ac:dyDescent="0.25">
      <c r="A34" t="s">
        <v>5</v>
      </c>
      <c r="B34">
        <v>16</v>
      </c>
      <c r="C34" s="1">
        <v>2.46912903255886E-5</v>
      </c>
      <c r="D34">
        <v>6960</v>
      </c>
      <c r="E34">
        <v>279.181639671325</v>
      </c>
    </row>
    <row r="35" spans="1:5" x14ac:dyDescent="0.25">
      <c r="A35" t="s">
        <v>6</v>
      </c>
      <c r="B35">
        <v>16</v>
      </c>
      <c r="C35" s="1">
        <v>6.1728093359205406E-5</v>
      </c>
      <c r="D35">
        <v>7002</v>
      </c>
      <c r="E35">
        <v>196.66989135742099</v>
      </c>
    </row>
    <row r="36" spans="1:5" x14ac:dyDescent="0.25">
      <c r="A36" t="s">
        <v>5</v>
      </c>
      <c r="B36">
        <v>17</v>
      </c>
      <c r="C36" s="1">
        <v>3.3950540754530101E-5</v>
      </c>
      <c r="D36">
        <v>6960</v>
      </c>
      <c r="E36">
        <v>278.25415945053101</v>
      </c>
    </row>
    <row r="37" spans="1:5" x14ac:dyDescent="0.25">
      <c r="A37" t="s">
        <v>6</v>
      </c>
      <c r="B37">
        <v>17</v>
      </c>
      <c r="C37" s="1">
        <v>3.0864013565911098E-5</v>
      </c>
      <c r="D37">
        <v>7002</v>
      </c>
      <c r="E37">
        <v>197.19504356384201</v>
      </c>
    </row>
    <row r="38" spans="1:5" x14ac:dyDescent="0.25">
      <c r="A38" t="s">
        <v>5</v>
      </c>
      <c r="B38">
        <v>15</v>
      </c>
      <c r="C38" s="1">
        <v>6.4814620547824396E-5</v>
      </c>
      <c r="D38">
        <v>6960</v>
      </c>
      <c r="E38">
        <v>280.778824567794</v>
      </c>
    </row>
    <row r="39" spans="1:5" x14ac:dyDescent="0.25">
      <c r="A39" t="s">
        <v>6</v>
      </c>
      <c r="B39">
        <v>15</v>
      </c>
      <c r="C39" s="1">
        <v>8.9505844646030003E-5</v>
      </c>
      <c r="D39">
        <v>7002</v>
      </c>
      <c r="E39">
        <v>197.316020965576</v>
      </c>
    </row>
    <row r="40" spans="1:5" x14ac:dyDescent="0.25">
      <c r="A40" t="s">
        <v>5</v>
      </c>
      <c r="B40">
        <v>16</v>
      </c>
      <c r="C40" s="1">
        <v>5.5555436346265997E-5</v>
      </c>
      <c r="D40">
        <v>6960</v>
      </c>
      <c r="E40">
        <v>277.51622533798201</v>
      </c>
    </row>
    <row r="41" spans="1:5" x14ac:dyDescent="0.25">
      <c r="A41" t="s">
        <v>6</v>
      </c>
      <c r="B41">
        <v>16</v>
      </c>
      <c r="C41" s="1">
        <v>8.9505778418646901E-5</v>
      </c>
      <c r="D41">
        <v>7002</v>
      </c>
      <c r="E41">
        <v>196.89808511734</v>
      </c>
    </row>
    <row r="42" spans="1:5" x14ac:dyDescent="0.25">
      <c r="A42" t="s">
        <v>5</v>
      </c>
      <c r="B42">
        <v>17</v>
      </c>
      <c r="C42" s="1">
        <v>1.8518434630499899E-5</v>
      </c>
      <c r="D42">
        <v>6960</v>
      </c>
      <c r="E42">
        <v>278.21225810050902</v>
      </c>
    </row>
    <row r="43" spans="1:5" x14ac:dyDescent="0.25">
      <c r="A43" t="s">
        <v>6</v>
      </c>
      <c r="B43">
        <v>17</v>
      </c>
      <c r="C43" s="1">
        <v>3.7036869260999799E-5</v>
      </c>
      <c r="D43">
        <v>7002</v>
      </c>
      <c r="E43">
        <v>198.453645944595</v>
      </c>
    </row>
    <row r="44" spans="1:5" x14ac:dyDescent="0.25">
      <c r="A44" t="s">
        <v>5</v>
      </c>
      <c r="B44">
        <v>15</v>
      </c>
      <c r="C44" s="1">
        <v>3.3950474527146999E-5</v>
      </c>
      <c r="D44">
        <v>6960</v>
      </c>
      <c r="E44">
        <v>279.38897609710602</v>
      </c>
    </row>
    <row r="45" spans="1:5" x14ac:dyDescent="0.25">
      <c r="A45" t="s">
        <v>6</v>
      </c>
      <c r="B45">
        <v>15</v>
      </c>
      <c r="C45" s="1">
        <v>8.6419383684794101E-5</v>
      </c>
      <c r="D45">
        <v>7002</v>
      </c>
      <c r="E45">
        <v>197.05368924140899</v>
      </c>
    </row>
    <row r="46" spans="1:5" x14ac:dyDescent="0.25">
      <c r="A46" t="s">
        <v>5</v>
      </c>
      <c r="B46">
        <v>16</v>
      </c>
      <c r="C46" s="1">
        <v>7.7160331938001798E-5</v>
      </c>
      <c r="D46">
        <v>6960</v>
      </c>
      <c r="E46">
        <v>278.99796414375299</v>
      </c>
    </row>
    <row r="47" spans="1:5" x14ac:dyDescent="0.25">
      <c r="A47" t="s">
        <v>6</v>
      </c>
      <c r="B47">
        <v>16</v>
      </c>
      <c r="C47" s="1">
        <v>2.77776850594414E-5</v>
      </c>
      <c r="D47">
        <v>7002</v>
      </c>
      <c r="E47">
        <v>197.39483261108299</v>
      </c>
    </row>
    <row r="48" spans="1:5" x14ac:dyDescent="0.25">
      <c r="A48" t="s">
        <v>5</v>
      </c>
      <c r="B48">
        <v>17</v>
      </c>
      <c r="C48" s="1">
        <v>4.32097249560885E-5</v>
      </c>
      <c r="D48">
        <v>6960</v>
      </c>
      <c r="E48">
        <v>279.44445109367302</v>
      </c>
    </row>
    <row r="49" spans="1:5" x14ac:dyDescent="0.25">
      <c r="A49" t="s">
        <v>6</v>
      </c>
      <c r="B49">
        <v>17</v>
      </c>
      <c r="C49" s="1">
        <v>2.4691224098205499E-5</v>
      </c>
      <c r="D49">
        <v>7002</v>
      </c>
      <c r="E49">
        <v>226.259635925292</v>
      </c>
    </row>
    <row r="50" spans="1:5" x14ac:dyDescent="0.25">
      <c r="A50" t="s">
        <v>5</v>
      </c>
      <c r="B50">
        <v>15</v>
      </c>
      <c r="C50" s="1">
        <v>8.0246792899237699E-5</v>
      </c>
      <c r="D50">
        <v>6960</v>
      </c>
      <c r="E50">
        <v>279.61267447471602</v>
      </c>
    </row>
    <row r="51" spans="1:5" x14ac:dyDescent="0.25">
      <c r="A51" t="s">
        <v>6</v>
      </c>
      <c r="B51">
        <v>15</v>
      </c>
      <c r="C51">
        <v>1.01851423581441E-4</v>
      </c>
      <c r="D51">
        <v>7002</v>
      </c>
      <c r="E51">
        <v>203.92020893096901</v>
      </c>
    </row>
    <row r="52" spans="1:5" x14ac:dyDescent="0.25">
      <c r="A52" t="s">
        <v>5</v>
      </c>
      <c r="B52">
        <v>16</v>
      </c>
      <c r="C52" s="1">
        <v>1.54320398966471E-5</v>
      </c>
      <c r="D52">
        <v>6960</v>
      </c>
      <c r="E52">
        <v>278.35519051551802</v>
      </c>
    </row>
    <row r="53" spans="1:5" x14ac:dyDescent="0.25">
      <c r="A53" t="s">
        <v>6</v>
      </c>
      <c r="B53">
        <v>16</v>
      </c>
      <c r="C53" s="1">
        <v>4.6296053462558299E-5</v>
      </c>
      <c r="D53">
        <v>7002</v>
      </c>
      <c r="E53">
        <v>196.23815131187399</v>
      </c>
    </row>
    <row r="54" spans="1:5" x14ac:dyDescent="0.25">
      <c r="A54" t="s">
        <v>5</v>
      </c>
      <c r="B54">
        <v>17</v>
      </c>
      <c r="C54" s="1">
        <v>1.54320398966471E-5</v>
      </c>
      <c r="D54">
        <v>6960</v>
      </c>
      <c r="E54">
        <v>278.88911676406798</v>
      </c>
    </row>
    <row r="55" spans="1:5" x14ac:dyDescent="0.25">
      <c r="A55" t="s">
        <v>6</v>
      </c>
      <c r="B55">
        <v>17</v>
      </c>
      <c r="C55" s="1">
        <v>1.54320398966471E-5</v>
      </c>
      <c r="D55">
        <v>7002</v>
      </c>
      <c r="E55">
        <v>196.42449426651001</v>
      </c>
    </row>
    <row r="56" spans="1:5" x14ac:dyDescent="0.25">
      <c r="A56" t="s">
        <v>5</v>
      </c>
      <c r="B56">
        <v>15</v>
      </c>
      <c r="C56" s="1">
        <v>7.7160265710618696E-5</v>
      </c>
      <c r="D56">
        <v>6960</v>
      </c>
      <c r="E56">
        <v>278.67188000678999</v>
      </c>
    </row>
    <row r="57" spans="1:5" x14ac:dyDescent="0.25">
      <c r="A57" t="s">
        <v>6</v>
      </c>
      <c r="B57">
        <v>15</v>
      </c>
      <c r="C57">
        <v>1.2654278013441201E-4</v>
      </c>
      <c r="D57">
        <v>7002</v>
      </c>
      <c r="E57">
        <v>196.92116856575001</v>
      </c>
    </row>
    <row r="58" spans="1:5" x14ac:dyDescent="0.25">
      <c r="A58" t="s">
        <v>5</v>
      </c>
      <c r="B58">
        <v>16</v>
      </c>
      <c r="C58" s="1">
        <v>2.4691224098205499E-5</v>
      </c>
      <c r="D58">
        <v>6960</v>
      </c>
      <c r="E58">
        <v>277.51320505142201</v>
      </c>
    </row>
    <row r="59" spans="1:5" x14ac:dyDescent="0.25">
      <c r="A59" t="s">
        <v>6</v>
      </c>
      <c r="B59">
        <v>16</v>
      </c>
      <c r="C59" s="1">
        <v>8.3332988950941302E-5</v>
      </c>
      <c r="D59">
        <v>7002</v>
      </c>
      <c r="E59">
        <v>197.60558819770799</v>
      </c>
    </row>
    <row r="60" spans="1:5" x14ac:dyDescent="0.25">
      <c r="A60" t="s">
        <v>5</v>
      </c>
      <c r="B60">
        <v>17</v>
      </c>
      <c r="C60" s="1">
        <v>2.46912903255886E-5</v>
      </c>
      <c r="D60">
        <v>6960</v>
      </c>
      <c r="E60">
        <v>277.21880722045898</v>
      </c>
    </row>
    <row r="61" spans="1:5" x14ac:dyDescent="0.25">
      <c r="A61" t="s">
        <v>6</v>
      </c>
      <c r="B61">
        <v>17</v>
      </c>
      <c r="C61" s="1">
        <v>2.1604829364352699E-5</v>
      </c>
      <c r="D61">
        <v>7002</v>
      </c>
      <c r="E61">
        <v>198.24698257446201</v>
      </c>
    </row>
    <row r="62" spans="1:5" x14ac:dyDescent="0.25">
      <c r="A62" t="s">
        <v>5</v>
      </c>
      <c r="B62">
        <v>15</v>
      </c>
      <c r="C62" s="1">
        <v>4.01233302222357E-5</v>
      </c>
      <c r="D62">
        <v>6960</v>
      </c>
      <c r="E62">
        <v>280.90763211250299</v>
      </c>
    </row>
    <row r="63" spans="1:5" x14ac:dyDescent="0.25">
      <c r="A63" t="s">
        <v>6</v>
      </c>
      <c r="B63">
        <v>15</v>
      </c>
      <c r="C63">
        <v>1.17283463478088E-4</v>
      </c>
      <c r="D63">
        <v>7002</v>
      </c>
      <c r="E63">
        <v>199.18409848213099</v>
      </c>
    </row>
    <row r="64" spans="1:5" x14ac:dyDescent="0.25">
      <c r="A64" t="s">
        <v>5</v>
      </c>
      <c r="B64">
        <v>16</v>
      </c>
      <c r="C64" s="1">
        <v>2.77776850594414E-5</v>
      </c>
      <c r="D64">
        <v>6960</v>
      </c>
      <c r="E64">
        <v>290.97494053840597</v>
      </c>
    </row>
    <row r="65" spans="1:5" x14ac:dyDescent="0.25">
      <c r="A65" t="s">
        <v>6</v>
      </c>
      <c r="B65">
        <v>16</v>
      </c>
      <c r="C65" s="1">
        <v>2.77776850594414E-5</v>
      </c>
      <c r="D65">
        <v>7002</v>
      </c>
      <c r="E65">
        <v>199.53164196014399</v>
      </c>
    </row>
    <row r="66" spans="1:5" x14ac:dyDescent="0.25">
      <c r="A66" t="s">
        <v>5</v>
      </c>
      <c r="B66">
        <v>17</v>
      </c>
      <c r="C66" s="1">
        <v>5.2468975385030102E-5</v>
      </c>
      <c r="D66">
        <v>6960</v>
      </c>
      <c r="E66">
        <v>280.16770911216702</v>
      </c>
    </row>
    <row r="67" spans="1:5" x14ac:dyDescent="0.25">
      <c r="A67" t="s">
        <v>6</v>
      </c>
      <c r="B67">
        <v>17</v>
      </c>
      <c r="C67" s="1">
        <v>3.0864013565911098E-5</v>
      </c>
      <c r="D67">
        <v>7002</v>
      </c>
      <c r="E67">
        <v>224.96382856368999</v>
      </c>
    </row>
    <row r="68" spans="1:5" x14ac:dyDescent="0.25">
      <c r="A68" t="s">
        <v>5</v>
      </c>
      <c r="B68">
        <v>15</v>
      </c>
      <c r="C68">
        <v>1.17283529705471E-4</v>
      </c>
      <c r="D68">
        <v>6960</v>
      </c>
      <c r="E68">
        <v>278.976910352706</v>
      </c>
    </row>
    <row r="69" spans="1:5" x14ac:dyDescent="0.25">
      <c r="A69" t="s">
        <v>6</v>
      </c>
      <c r="B69">
        <v>15</v>
      </c>
      <c r="C69">
        <v>2.9012236330244197E-4</v>
      </c>
      <c r="D69">
        <v>7002</v>
      </c>
      <c r="E69">
        <v>224.17887663841199</v>
      </c>
    </row>
    <row r="70" spans="1:5" x14ac:dyDescent="0.25">
      <c r="A70" t="s">
        <v>5</v>
      </c>
      <c r="B70">
        <v>16</v>
      </c>
      <c r="C70" s="1">
        <v>1.23456451627943E-5</v>
      </c>
      <c r="D70">
        <v>6960</v>
      </c>
      <c r="E70">
        <v>279.08507061004599</v>
      </c>
    </row>
    <row r="71" spans="1:5" x14ac:dyDescent="0.25">
      <c r="A71" t="s">
        <v>6</v>
      </c>
      <c r="B71">
        <v>16</v>
      </c>
      <c r="C71" s="1">
        <v>4.6296119689941401E-5</v>
      </c>
      <c r="D71">
        <v>7002</v>
      </c>
      <c r="E71">
        <v>197.35269212722699</v>
      </c>
    </row>
    <row r="72" spans="1:5" x14ac:dyDescent="0.25">
      <c r="A72" t="s">
        <v>5</v>
      </c>
      <c r="B72">
        <v>17</v>
      </c>
      <c r="C72" s="1">
        <v>1.23456451627943E-5</v>
      </c>
      <c r="D72">
        <v>6960</v>
      </c>
      <c r="E72">
        <v>277.614350795745</v>
      </c>
    </row>
    <row r="73" spans="1:5" x14ac:dyDescent="0.25">
      <c r="A73" t="s">
        <v>6</v>
      </c>
      <c r="B73">
        <v>17</v>
      </c>
      <c r="C73" s="1">
        <v>6.1727894677056204E-6</v>
      </c>
      <c r="D73">
        <v>7002</v>
      </c>
      <c r="E73">
        <v>197.709695339202</v>
      </c>
    </row>
    <row r="74" spans="1:5" x14ac:dyDescent="0.25">
      <c r="A74" t="s">
        <v>5</v>
      </c>
      <c r="B74">
        <v>15</v>
      </c>
      <c r="C74" s="1">
        <v>4.32097249560885E-5</v>
      </c>
      <c r="D74">
        <v>6960</v>
      </c>
      <c r="E74">
        <v>280.44930601119898</v>
      </c>
    </row>
    <row r="75" spans="1:5" x14ac:dyDescent="0.25">
      <c r="A75" t="s">
        <v>6</v>
      </c>
      <c r="B75">
        <v>15</v>
      </c>
      <c r="C75">
        <v>1.3271550337473501E-4</v>
      </c>
      <c r="D75">
        <v>7002</v>
      </c>
      <c r="E75">
        <v>198.63977956771799</v>
      </c>
    </row>
    <row r="76" spans="1:5" x14ac:dyDescent="0.25">
      <c r="A76" t="s">
        <v>5</v>
      </c>
      <c r="B76">
        <v>16</v>
      </c>
      <c r="C76">
        <v>1.23456451627943E-4</v>
      </c>
      <c r="D76">
        <v>6960</v>
      </c>
      <c r="E76">
        <v>277.13045406341502</v>
      </c>
    </row>
    <row r="77" spans="1:5" x14ac:dyDescent="0.25">
      <c r="A77" t="s">
        <v>6</v>
      </c>
      <c r="B77">
        <v>16</v>
      </c>
      <c r="C77" s="1">
        <v>7.0987277560763805E-5</v>
      </c>
      <c r="D77">
        <v>7002</v>
      </c>
      <c r="E77">
        <v>196.72525525092999</v>
      </c>
    </row>
    <row r="78" spans="1:5" x14ac:dyDescent="0.25">
      <c r="A78" t="s">
        <v>5</v>
      </c>
      <c r="B78">
        <v>17</v>
      </c>
      <c r="C78" s="1">
        <v>1.23456451627943E-5</v>
      </c>
      <c r="D78">
        <v>6960</v>
      </c>
      <c r="E78">
        <v>279.80008578300402</v>
      </c>
    </row>
    <row r="79" spans="1:5" x14ac:dyDescent="0.25">
      <c r="A79" t="s">
        <v>6</v>
      </c>
      <c r="B79">
        <v>17</v>
      </c>
      <c r="C79" s="1">
        <v>1.23455789354112E-5</v>
      </c>
      <c r="D79">
        <v>7002</v>
      </c>
      <c r="E79">
        <v>201.633838891983</v>
      </c>
    </row>
    <row r="80" spans="1:5" x14ac:dyDescent="0.25">
      <c r="A80" t="s">
        <v>5</v>
      </c>
      <c r="B80">
        <v>15</v>
      </c>
      <c r="C80">
        <v>2.4074011378818E-4</v>
      </c>
      <c r="D80">
        <v>6960</v>
      </c>
      <c r="E80">
        <v>278.61123609542801</v>
      </c>
    </row>
    <row r="81" spans="1:5" x14ac:dyDescent="0.25">
      <c r="A81" t="s">
        <v>6</v>
      </c>
      <c r="B81">
        <v>15</v>
      </c>
      <c r="C81">
        <v>3.3024569352467801E-4</v>
      </c>
      <c r="D81">
        <v>7002</v>
      </c>
      <c r="E81">
        <v>197.20873999595599</v>
      </c>
    </row>
    <row r="82" spans="1:5" x14ac:dyDescent="0.25">
      <c r="A82" t="s">
        <v>5</v>
      </c>
      <c r="B82">
        <v>16</v>
      </c>
      <c r="C82" s="1">
        <v>7.7160331938001798E-5</v>
      </c>
      <c r="D82">
        <v>6960</v>
      </c>
      <c r="E82">
        <v>278.19748282432499</v>
      </c>
    </row>
    <row r="83" spans="1:5" x14ac:dyDescent="0.25">
      <c r="A83" t="s">
        <v>6</v>
      </c>
      <c r="B83">
        <v>16</v>
      </c>
      <c r="C83" s="1">
        <v>2.4691224098205499E-5</v>
      </c>
      <c r="D83">
        <v>7002</v>
      </c>
      <c r="E83">
        <v>197.06884264945899</v>
      </c>
    </row>
    <row r="84" spans="1:5" x14ac:dyDescent="0.25">
      <c r="A84" t="s">
        <v>5</v>
      </c>
      <c r="B84">
        <v>17</v>
      </c>
      <c r="C84" s="1">
        <v>1.23456451627943E-5</v>
      </c>
      <c r="D84">
        <v>6960</v>
      </c>
      <c r="E84">
        <v>278.136969089508</v>
      </c>
    </row>
    <row r="85" spans="1:5" x14ac:dyDescent="0.25">
      <c r="A85" t="s">
        <v>6</v>
      </c>
      <c r="B85">
        <v>17</v>
      </c>
      <c r="C85" s="1">
        <v>9.2592504289415108E-6</v>
      </c>
      <c r="D85">
        <v>7002</v>
      </c>
      <c r="E85">
        <v>196.98124170303299</v>
      </c>
    </row>
    <row r="86" spans="1:5" x14ac:dyDescent="0.25">
      <c r="A86" t="s">
        <v>5</v>
      </c>
      <c r="B86">
        <v>15</v>
      </c>
      <c r="C86" s="1">
        <v>7.0987476242913097E-5</v>
      </c>
      <c r="D86">
        <v>6960</v>
      </c>
      <c r="E86">
        <v>279.26446342468199</v>
      </c>
    </row>
    <row r="87" spans="1:5" x14ac:dyDescent="0.25">
      <c r="A87" t="s">
        <v>6</v>
      </c>
      <c r="B87">
        <v>15</v>
      </c>
      <c r="C87">
        <v>2.7469012472364598E-4</v>
      </c>
      <c r="D87">
        <v>7002</v>
      </c>
      <c r="E87">
        <v>196.80613875389099</v>
      </c>
    </row>
    <row r="88" spans="1:5" x14ac:dyDescent="0.25">
      <c r="A88" t="s">
        <v>5</v>
      </c>
      <c r="B88">
        <v>16</v>
      </c>
      <c r="C88" s="1">
        <v>5.5555436346265997E-5</v>
      </c>
      <c r="D88">
        <v>6960</v>
      </c>
      <c r="E88">
        <v>278.51368737220702</v>
      </c>
    </row>
    <row r="89" spans="1:5" x14ac:dyDescent="0.25">
      <c r="A89" t="s">
        <v>6</v>
      </c>
      <c r="B89">
        <v>16</v>
      </c>
      <c r="C89" s="1">
        <v>7.4073804749382794E-5</v>
      </c>
      <c r="D89">
        <v>7002</v>
      </c>
      <c r="E89">
        <v>196.87684535980199</v>
      </c>
    </row>
    <row r="90" spans="1:5" x14ac:dyDescent="0.25">
      <c r="A90" t="s">
        <v>5</v>
      </c>
      <c r="B90">
        <v>17</v>
      </c>
      <c r="C90" s="1">
        <v>7.7160265710618696E-5</v>
      </c>
      <c r="D90">
        <v>6960</v>
      </c>
      <c r="E90">
        <v>276.29157876968299</v>
      </c>
    </row>
    <row r="91" spans="1:5" x14ac:dyDescent="0.25">
      <c r="A91" t="s">
        <v>6</v>
      </c>
      <c r="B91">
        <v>17</v>
      </c>
      <c r="C91" s="1">
        <v>6.1727894677056204E-6</v>
      </c>
      <c r="D91">
        <v>7002</v>
      </c>
      <c r="E91">
        <v>197.047917127609</v>
      </c>
    </row>
    <row r="92" spans="1:5" x14ac:dyDescent="0.25">
      <c r="A92" t="s">
        <v>5</v>
      </c>
      <c r="B92">
        <v>15</v>
      </c>
      <c r="C92">
        <v>1.01851556036207E-4</v>
      </c>
      <c r="D92">
        <v>6960</v>
      </c>
      <c r="E92">
        <v>278.64403152465798</v>
      </c>
    </row>
    <row r="93" spans="1:5" x14ac:dyDescent="0.25">
      <c r="A93" t="s">
        <v>6</v>
      </c>
      <c r="B93">
        <v>15</v>
      </c>
      <c r="C93">
        <v>1.0802427927652899E-4</v>
      </c>
      <c r="D93">
        <v>7002</v>
      </c>
      <c r="E93">
        <v>199.71462821960401</v>
      </c>
    </row>
    <row r="94" spans="1:5" x14ac:dyDescent="0.25">
      <c r="A94" t="s">
        <v>5</v>
      </c>
      <c r="B94">
        <v>16</v>
      </c>
      <c r="C94" s="1">
        <v>1.23456451627943E-5</v>
      </c>
      <c r="D94">
        <v>6960</v>
      </c>
      <c r="E94">
        <v>278.66587185859601</v>
      </c>
    </row>
    <row r="95" spans="1:5" x14ac:dyDescent="0.25">
      <c r="A95" t="s">
        <v>6</v>
      </c>
      <c r="B95">
        <v>16</v>
      </c>
      <c r="C95" s="1">
        <v>8.3332988950941302E-5</v>
      </c>
      <c r="D95">
        <v>7002</v>
      </c>
      <c r="E95">
        <v>197.43330121040299</v>
      </c>
    </row>
    <row r="96" spans="1:5" x14ac:dyDescent="0.25">
      <c r="A96" t="s">
        <v>5</v>
      </c>
      <c r="B96">
        <v>17</v>
      </c>
      <c r="C96" s="1">
        <v>2.4691356552971699E-5</v>
      </c>
      <c r="D96">
        <v>6960</v>
      </c>
      <c r="E96">
        <v>277.69993138313203</v>
      </c>
    </row>
    <row r="97" spans="1:5" x14ac:dyDescent="0.25">
      <c r="A97" t="s">
        <v>6</v>
      </c>
      <c r="B97">
        <v>17</v>
      </c>
      <c r="C97" s="1">
        <v>2.77776850594414E-5</v>
      </c>
      <c r="D97">
        <v>7002</v>
      </c>
      <c r="E97">
        <v>196.70299148559499</v>
      </c>
    </row>
    <row r="98" spans="1:5" x14ac:dyDescent="0.25">
      <c r="A98" t="s">
        <v>5</v>
      </c>
      <c r="B98">
        <v>15</v>
      </c>
      <c r="C98" s="1">
        <v>5.8641831080118803E-5</v>
      </c>
      <c r="D98">
        <v>6960</v>
      </c>
      <c r="E98">
        <v>277.35110020637501</v>
      </c>
    </row>
    <row r="99" spans="1:5" x14ac:dyDescent="0.25">
      <c r="A99" t="s">
        <v>6</v>
      </c>
      <c r="B99">
        <v>15</v>
      </c>
      <c r="C99">
        <v>2.65431072976854E-4</v>
      </c>
      <c r="D99">
        <v>7002</v>
      </c>
      <c r="E99">
        <v>196.72599458694401</v>
      </c>
    </row>
    <row r="100" spans="1:5" x14ac:dyDescent="0.25">
      <c r="A100" t="s">
        <v>5</v>
      </c>
      <c r="B100">
        <v>16</v>
      </c>
      <c r="C100" s="1">
        <v>4.9382580651177302E-5</v>
      </c>
      <c r="D100">
        <v>6960</v>
      </c>
      <c r="E100">
        <v>276.20164251327498</v>
      </c>
    </row>
    <row r="101" spans="1:5" x14ac:dyDescent="0.25">
      <c r="A101" t="s">
        <v>6</v>
      </c>
      <c r="B101">
        <v>16</v>
      </c>
      <c r="C101" s="1">
        <v>7.7160133255852506E-5</v>
      </c>
      <c r="D101">
        <v>7002</v>
      </c>
      <c r="E101">
        <v>197.12389659881501</v>
      </c>
    </row>
    <row r="102" spans="1:5" x14ac:dyDescent="0.25">
      <c r="A102" t="s">
        <v>5</v>
      </c>
      <c r="B102">
        <v>17</v>
      </c>
      <c r="C102" s="1">
        <v>9.2592504289415108E-6</v>
      </c>
      <c r="D102">
        <v>6960</v>
      </c>
      <c r="E102">
        <v>276.59900784492402</v>
      </c>
    </row>
    <row r="103" spans="1:5" x14ac:dyDescent="0.25">
      <c r="A103" t="s">
        <v>6</v>
      </c>
      <c r="B103">
        <v>17</v>
      </c>
      <c r="C103" s="1">
        <v>1.8518500857883001E-5</v>
      </c>
      <c r="D103">
        <v>7002</v>
      </c>
      <c r="E103">
        <v>196.46194839477499</v>
      </c>
    </row>
    <row r="104" spans="1:5" x14ac:dyDescent="0.25">
      <c r="A104" t="s">
        <v>5</v>
      </c>
      <c r="B104">
        <v>15</v>
      </c>
      <c r="C104" s="1">
        <v>6.7900949054294093E-5</v>
      </c>
      <c r="D104">
        <v>6960</v>
      </c>
      <c r="E104">
        <v>279.213597297668</v>
      </c>
    </row>
    <row r="105" spans="1:5" x14ac:dyDescent="0.25">
      <c r="A105" t="s">
        <v>6</v>
      </c>
      <c r="B105">
        <v>15</v>
      </c>
      <c r="C105">
        <v>2.03702847162882E-4</v>
      </c>
      <c r="D105">
        <v>7002</v>
      </c>
      <c r="E105">
        <v>222.960636615753</v>
      </c>
    </row>
    <row r="106" spans="1:5" x14ac:dyDescent="0.25">
      <c r="A106" t="s">
        <v>5</v>
      </c>
      <c r="B106">
        <v>16</v>
      </c>
      <c r="C106" s="1">
        <v>1.54320398966471E-5</v>
      </c>
      <c r="D106">
        <v>6960</v>
      </c>
      <c r="E106">
        <v>276.81468677520701</v>
      </c>
    </row>
    <row r="107" spans="1:5" x14ac:dyDescent="0.25">
      <c r="A107" t="s">
        <v>6</v>
      </c>
      <c r="B107">
        <v>16</v>
      </c>
      <c r="C107" s="1">
        <v>6.1728159586588494E-5</v>
      </c>
      <c r="D107">
        <v>7002</v>
      </c>
      <c r="E107">
        <v>197.081314802169</v>
      </c>
    </row>
    <row r="108" spans="1:5" x14ac:dyDescent="0.25">
      <c r="A108" t="s">
        <v>5</v>
      </c>
      <c r="B108">
        <v>17</v>
      </c>
      <c r="C108" s="1">
        <v>9.2592504289415108E-6</v>
      </c>
      <c r="D108">
        <v>6960</v>
      </c>
      <c r="E108">
        <v>279.22484445571899</v>
      </c>
    </row>
    <row r="109" spans="1:5" x14ac:dyDescent="0.25">
      <c r="A109" t="s">
        <v>6</v>
      </c>
      <c r="B109">
        <v>17</v>
      </c>
      <c r="C109" s="1">
        <v>3.7036869260999799E-5</v>
      </c>
      <c r="D109">
        <v>7002</v>
      </c>
      <c r="E109">
        <v>200.909398794174</v>
      </c>
    </row>
    <row r="110" spans="1:5" x14ac:dyDescent="0.25">
      <c r="A110" t="s">
        <v>5</v>
      </c>
      <c r="B110">
        <v>15</v>
      </c>
      <c r="C110" s="1">
        <v>8.3333121405707397E-5</v>
      </c>
      <c r="D110">
        <v>6960</v>
      </c>
      <c r="E110">
        <v>278.25083971023503</v>
      </c>
    </row>
    <row r="111" spans="1:5" x14ac:dyDescent="0.25">
      <c r="A111" t="s">
        <v>6</v>
      </c>
      <c r="B111">
        <v>15</v>
      </c>
      <c r="C111">
        <v>1.17283397250705E-4</v>
      </c>
      <c r="D111">
        <v>7002</v>
      </c>
      <c r="E111">
        <v>198.33007478713901</v>
      </c>
    </row>
    <row r="112" spans="1:5" x14ac:dyDescent="0.25">
      <c r="A112" t="s">
        <v>5</v>
      </c>
      <c r="B112">
        <v>16</v>
      </c>
      <c r="C112" s="1">
        <v>3.7036935488382901E-5</v>
      </c>
      <c r="D112">
        <v>6960</v>
      </c>
      <c r="E112">
        <v>278.69973325729302</v>
      </c>
    </row>
    <row r="113" spans="1:5" x14ac:dyDescent="0.25">
      <c r="A113" t="s">
        <v>6</v>
      </c>
      <c r="B113">
        <v>16</v>
      </c>
      <c r="C113" s="1">
        <v>7.0987410015529995E-5</v>
      </c>
      <c r="D113">
        <v>7002</v>
      </c>
      <c r="E113">
        <v>198.727591276168</v>
      </c>
    </row>
    <row r="114" spans="1:5" x14ac:dyDescent="0.25">
      <c r="A114" t="s">
        <v>5</v>
      </c>
      <c r="B114">
        <v>17</v>
      </c>
      <c r="C114">
        <v>0</v>
      </c>
      <c r="D114">
        <v>6960</v>
      </c>
      <c r="E114">
        <v>277.85219669342001</v>
      </c>
    </row>
    <row r="115" spans="1:5" x14ac:dyDescent="0.25">
      <c r="A115" t="s">
        <v>6</v>
      </c>
      <c r="B115">
        <v>17</v>
      </c>
      <c r="C115" s="1">
        <v>2.4691224098205499E-5</v>
      </c>
      <c r="D115">
        <v>7002</v>
      </c>
      <c r="E115">
        <v>197.199652910232</v>
      </c>
    </row>
    <row r="116" spans="1:5" x14ac:dyDescent="0.25">
      <c r="A116" t="s">
        <v>5</v>
      </c>
      <c r="B116">
        <v>15</v>
      </c>
      <c r="C116">
        <v>1.0493801699744299E-4</v>
      </c>
      <c r="D116">
        <v>6960</v>
      </c>
      <c r="E116">
        <v>291.843523502349</v>
      </c>
    </row>
    <row r="117" spans="1:5" x14ac:dyDescent="0.25">
      <c r="A117" t="s">
        <v>6</v>
      </c>
      <c r="B117">
        <v>15</v>
      </c>
      <c r="C117">
        <v>1.3271550337473501E-4</v>
      </c>
      <c r="D117">
        <v>7002</v>
      </c>
      <c r="E117">
        <v>238.75739669799799</v>
      </c>
    </row>
    <row r="118" spans="1:5" x14ac:dyDescent="0.25">
      <c r="A118" t="s">
        <v>5</v>
      </c>
      <c r="B118">
        <v>16</v>
      </c>
      <c r="C118" s="1">
        <v>8.6419582366943298E-5</v>
      </c>
      <c r="D118">
        <v>6960</v>
      </c>
      <c r="E118">
        <v>289.89057254791197</v>
      </c>
    </row>
    <row r="119" spans="1:5" x14ac:dyDescent="0.25">
      <c r="A119" t="s">
        <v>6</v>
      </c>
      <c r="B119">
        <v>16</v>
      </c>
      <c r="C119" s="1">
        <v>8.33329227235582E-5</v>
      </c>
      <c r="D119">
        <v>7002</v>
      </c>
      <c r="E119">
        <v>196.84501981735201</v>
      </c>
    </row>
    <row r="120" spans="1:5" x14ac:dyDescent="0.25">
      <c r="A120" t="s">
        <v>5</v>
      </c>
      <c r="B120">
        <v>17</v>
      </c>
      <c r="C120" s="1">
        <v>2.46912903255886E-5</v>
      </c>
      <c r="D120">
        <v>6960</v>
      </c>
      <c r="E120">
        <v>278.93650746345497</v>
      </c>
    </row>
    <row r="121" spans="1:5" x14ac:dyDescent="0.25">
      <c r="A121" t="s">
        <v>6</v>
      </c>
      <c r="B121">
        <v>17</v>
      </c>
      <c r="C121" s="1">
        <v>3.7036869260999799E-5</v>
      </c>
      <c r="D121">
        <v>7002</v>
      </c>
      <c r="E121">
        <v>200.54294514655999</v>
      </c>
    </row>
    <row r="122" spans="1:5" x14ac:dyDescent="0.25">
      <c r="A122" t="s">
        <v>5</v>
      </c>
      <c r="B122">
        <v>15</v>
      </c>
      <c r="C122" s="1">
        <v>7.0987542470296198E-5</v>
      </c>
      <c r="D122">
        <v>6960</v>
      </c>
      <c r="E122">
        <v>280.513417720794</v>
      </c>
    </row>
    <row r="123" spans="1:5" x14ac:dyDescent="0.25">
      <c r="A123" t="s">
        <v>6</v>
      </c>
      <c r="B123">
        <v>15</v>
      </c>
      <c r="C123" s="1">
        <v>7.4073672294616699E-5</v>
      </c>
      <c r="D123">
        <v>7002</v>
      </c>
      <c r="E123">
        <v>201.28551936149501</v>
      </c>
    </row>
    <row r="124" spans="1:5" x14ac:dyDescent="0.25">
      <c r="A124" t="s">
        <v>5</v>
      </c>
      <c r="B124">
        <v>16</v>
      </c>
      <c r="C124" s="1">
        <v>1.23456451627943E-5</v>
      </c>
      <c r="D124">
        <v>6960</v>
      </c>
      <c r="E124">
        <v>287.35686302185002</v>
      </c>
    </row>
    <row r="125" spans="1:5" x14ac:dyDescent="0.25">
      <c r="A125" t="s">
        <v>6</v>
      </c>
      <c r="B125">
        <v>16</v>
      </c>
      <c r="C125" s="1">
        <v>8.6419449912177095E-5</v>
      </c>
      <c r="D125">
        <v>7002</v>
      </c>
      <c r="E125">
        <v>210.048090457916</v>
      </c>
    </row>
    <row r="126" spans="1:5" x14ac:dyDescent="0.25">
      <c r="A126" t="s">
        <v>5</v>
      </c>
      <c r="B126">
        <v>17</v>
      </c>
      <c r="C126">
        <v>0</v>
      </c>
      <c r="D126">
        <v>6960</v>
      </c>
      <c r="E126">
        <v>280.17651581764198</v>
      </c>
    </row>
    <row r="127" spans="1:5" x14ac:dyDescent="0.25">
      <c r="A127" t="s">
        <v>6</v>
      </c>
      <c r="B127">
        <v>17</v>
      </c>
      <c r="C127" s="1">
        <v>6.1727894677056204E-6</v>
      </c>
      <c r="D127">
        <v>7002</v>
      </c>
      <c r="E127">
        <v>198.00540757179201</v>
      </c>
    </row>
    <row r="128" spans="1:5" x14ac:dyDescent="0.25">
      <c r="A128" t="s">
        <v>5</v>
      </c>
      <c r="B128">
        <v>15</v>
      </c>
      <c r="C128" s="1">
        <v>8.9505977100796098E-5</v>
      </c>
      <c r="D128">
        <v>6960</v>
      </c>
      <c r="E128">
        <v>280.37992954254099</v>
      </c>
    </row>
    <row r="129" spans="1:5" x14ac:dyDescent="0.25">
      <c r="A129" t="s">
        <v>6</v>
      </c>
      <c r="B129">
        <v>15</v>
      </c>
      <c r="C129">
        <v>1.8827080726623499E-4</v>
      </c>
      <c r="D129">
        <v>7002</v>
      </c>
      <c r="E129">
        <v>200.87895178794801</v>
      </c>
    </row>
    <row r="130" spans="1:5" x14ac:dyDescent="0.25">
      <c r="A130" t="s">
        <v>5</v>
      </c>
      <c r="B130">
        <v>16</v>
      </c>
      <c r="C130" s="1">
        <v>4.01233302222357E-5</v>
      </c>
      <c r="D130">
        <v>6960</v>
      </c>
      <c r="E130">
        <v>277.59552454948403</v>
      </c>
    </row>
    <row r="131" spans="1:5" x14ac:dyDescent="0.25">
      <c r="A131" t="s">
        <v>6</v>
      </c>
      <c r="B131">
        <v>16</v>
      </c>
      <c r="C131" s="1">
        <v>6.4814488093058206E-5</v>
      </c>
      <c r="D131">
        <v>7002</v>
      </c>
      <c r="E131">
        <v>200.33956193923899</v>
      </c>
    </row>
    <row r="132" spans="1:5" x14ac:dyDescent="0.25">
      <c r="A132" t="s">
        <v>5</v>
      </c>
      <c r="B132">
        <v>17</v>
      </c>
      <c r="C132" s="1">
        <v>3.08640797932942E-5</v>
      </c>
      <c r="D132">
        <v>6960</v>
      </c>
      <c r="E132">
        <v>277.54164648056002</v>
      </c>
    </row>
    <row r="133" spans="1:5" x14ac:dyDescent="0.25">
      <c r="A133" t="s">
        <v>6</v>
      </c>
      <c r="B133">
        <v>17</v>
      </c>
      <c r="C133" s="1">
        <v>4.6296119689941401E-5</v>
      </c>
      <c r="D133">
        <v>7002</v>
      </c>
      <c r="E133">
        <v>197.341655731201</v>
      </c>
    </row>
    <row r="134" spans="1:5" x14ac:dyDescent="0.25">
      <c r="A134" t="s">
        <v>5</v>
      </c>
      <c r="B134">
        <v>15</v>
      </c>
      <c r="C134">
        <v>1.2037012312147301E-4</v>
      </c>
      <c r="D134">
        <v>6960</v>
      </c>
      <c r="E134">
        <v>281.29885697364801</v>
      </c>
    </row>
    <row r="135" spans="1:5" x14ac:dyDescent="0.25">
      <c r="A135" t="s">
        <v>6</v>
      </c>
      <c r="B135">
        <v>15</v>
      </c>
      <c r="C135">
        <v>3.6728236410352898E-4</v>
      </c>
      <c r="D135">
        <v>7002</v>
      </c>
      <c r="E135">
        <v>208.37104725837699</v>
      </c>
    </row>
    <row r="136" spans="1:5" x14ac:dyDescent="0.25">
      <c r="A136" t="s">
        <v>5</v>
      </c>
      <c r="B136">
        <v>16</v>
      </c>
      <c r="C136" s="1">
        <v>1.8518434630499899E-5</v>
      </c>
      <c r="D136">
        <v>6960</v>
      </c>
      <c r="E136">
        <v>281.639461755752</v>
      </c>
    </row>
    <row r="137" spans="1:5" x14ac:dyDescent="0.25">
      <c r="A137" t="s">
        <v>6</v>
      </c>
      <c r="B137">
        <v>16</v>
      </c>
      <c r="C137" s="1">
        <v>8.0246461762322298E-5</v>
      </c>
      <c r="D137">
        <v>7002</v>
      </c>
      <c r="E137">
        <v>197.16553044319099</v>
      </c>
    </row>
    <row r="138" spans="1:5" x14ac:dyDescent="0.25">
      <c r="A138" t="s">
        <v>5</v>
      </c>
      <c r="B138">
        <v>17</v>
      </c>
      <c r="C138" s="1">
        <v>1.23456451627943E-5</v>
      </c>
      <c r="D138">
        <v>6960</v>
      </c>
      <c r="E138">
        <v>280.84893417358398</v>
      </c>
    </row>
    <row r="139" spans="1:5" x14ac:dyDescent="0.25">
      <c r="A139" t="s">
        <v>6</v>
      </c>
      <c r="B139">
        <v>17</v>
      </c>
      <c r="C139" s="1">
        <v>4.01232639948527E-5</v>
      </c>
      <c r="D139">
        <v>7002</v>
      </c>
      <c r="E139">
        <v>203.40222597122099</v>
      </c>
    </row>
    <row r="140" spans="1:5" x14ac:dyDescent="0.25">
      <c r="A140" t="s">
        <v>5</v>
      </c>
      <c r="B140">
        <v>15</v>
      </c>
      <c r="C140">
        <v>1.3580216301812E-4</v>
      </c>
      <c r="D140">
        <v>6960</v>
      </c>
      <c r="E140">
        <v>280.25258207321099</v>
      </c>
    </row>
    <row r="141" spans="1:5" x14ac:dyDescent="0.25">
      <c r="A141" t="s">
        <v>6</v>
      </c>
      <c r="B141">
        <v>15</v>
      </c>
      <c r="C141" s="1">
        <v>9.2592106925116599E-5</v>
      </c>
      <c r="D141">
        <v>7002</v>
      </c>
      <c r="E141">
        <v>204.598029136657</v>
      </c>
    </row>
    <row r="142" spans="1:5" x14ac:dyDescent="0.25">
      <c r="A142" t="s">
        <v>5</v>
      </c>
      <c r="B142">
        <v>16</v>
      </c>
      <c r="C142" s="1">
        <v>2.1604829364352699E-5</v>
      </c>
      <c r="D142">
        <v>6960</v>
      </c>
      <c r="E142">
        <v>278.38123345374999</v>
      </c>
    </row>
    <row r="143" spans="1:5" x14ac:dyDescent="0.25">
      <c r="A143" t="s">
        <v>6</v>
      </c>
      <c r="B143">
        <v>16</v>
      </c>
      <c r="C143" s="1">
        <v>4.01232639948527E-5</v>
      </c>
      <c r="D143">
        <v>7002</v>
      </c>
      <c r="E143">
        <v>205.22447752952499</v>
      </c>
    </row>
    <row r="144" spans="1:5" x14ac:dyDescent="0.25">
      <c r="A144" t="s">
        <v>5</v>
      </c>
      <c r="B144">
        <v>17</v>
      </c>
      <c r="C144">
        <v>1.32715702056884E-4</v>
      </c>
      <c r="D144">
        <v>6960</v>
      </c>
      <c r="E144">
        <v>278.46970009803698</v>
      </c>
    </row>
    <row r="145" spans="1:5" x14ac:dyDescent="0.25">
      <c r="A145" t="s">
        <v>6</v>
      </c>
      <c r="B145">
        <v>17</v>
      </c>
      <c r="C145" s="1">
        <v>3.3950474527146999E-5</v>
      </c>
      <c r="D145">
        <v>7002</v>
      </c>
      <c r="E145">
        <v>201.79858875274601</v>
      </c>
    </row>
    <row r="146" spans="1:5" x14ac:dyDescent="0.25">
      <c r="A146" t="s">
        <v>5</v>
      </c>
      <c r="B146">
        <v>15</v>
      </c>
      <c r="C146" s="1">
        <v>7.4073804749382794E-5</v>
      </c>
      <c r="D146">
        <v>6960</v>
      </c>
      <c r="E146">
        <v>280.92897558212201</v>
      </c>
    </row>
    <row r="147" spans="1:5" x14ac:dyDescent="0.25">
      <c r="A147" t="s">
        <v>6</v>
      </c>
      <c r="B147">
        <v>15</v>
      </c>
      <c r="C147" s="1">
        <v>9.56785678863525E-5</v>
      </c>
      <c r="D147">
        <v>7002</v>
      </c>
      <c r="E147">
        <v>205.87752985954199</v>
      </c>
    </row>
    <row r="148" spans="1:5" x14ac:dyDescent="0.25">
      <c r="A148" t="s">
        <v>5</v>
      </c>
      <c r="B148">
        <v>16</v>
      </c>
      <c r="C148">
        <v>1.6975257131788399E-4</v>
      </c>
      <c r="D148">
        <v>6960</v>
      </c>
      <c r="E148">
        <v>281.65251564979502</v>
      </c>
    </row>
    <row r="149" spans="1:5" x14ac:dyDescent="0.25">
      <c r="A149" t="s">
        <v>6</v>
      </c>
      <c r="B149">
        <v>16</v>
      </c>
      <c r="C149" s="1">
        <v>6.7900882826911005E-5</v>
      </c>
      <c r="D149">
        <v>7002</v>
      </c>
      <c r="E149">
        <v>198.08323955535801</v>
      </c>
    </row>
    <row r="150" spans="1:5" x14ac:dyDescent="0.25">
      <c r="A150" t="s">
        <v>5</v>
      </c>
      <c r="B150">
        <v>17</v>
      </c>
      <c r="C150" s="1">
        <v>1.54320398966471E-5</v>
      </c>
      <c r="D150">
        <v>6960</v>
      </c>
      <c r="E150">
        <v>279.07292389869599</v>
      </c>
    </row>
    <row r="151" spans="1:5" x14ac:dyDescent="0.25">
      <c r="A151" t="s">
        <v>6</v>
      </c>
      <c r="B151">
        <v>17</v>
      </c>
      <c r="C151" s="1">
        <v>9.2592504289415108E-6</v>
      </c>
      <c r="D151">
        <v>7002</v>
      </c>
      <c r="E151">
        <v>200.707454681396</v>
      </c>
    </row>
    <row r="152" spans="1:5" x14ac:dyDescent="0.25">
      <c r="A152" t="s">
        <v>5</v>
      </c>
      <c r="B152">
        <v>15</v>
      </c>
      <c r="C152" s="1">
        <v>5.2469041612413197E-5</v>
      </c>
      <c r="D152">
        <v>6960</v>
      </c>
      <c r="E152">
        <v>278.53372001647898</v>
      </c>
    </row>
    <row r="153" spans="1:5" x14ac:dyDescent="0.25">
      <c r="A153" t="s">
        <v>6</v>
      </c>
      <c r="B153">
        <v>15</v>
      </c>
      <c r="C153" s="1">
        <v>6.4814554320441294E-5</v>
      </c>
      <c r="D153">
        <v>7002</v>
      </c>
      <c r="E153">
        <v>219.88181853294299</v>
      </c>
    </row>
    <row r="154" spans="1:5" x14ac:dyDescent="0.25">
      <c r="A154" t="s">
        <v>5</v>
      </c>
      <c r="B154">
        <v>16</v>
      </c>
      <c r="C154" s="1">
        <v>6.1728225813971596E-5</v>
      </c>
      <c r="D154">
        <v>6960</v>
      </c>
      <c r="E154">
        <v>278.19073724746698</v>
      </c>
    </row>
    <row r="155" spans="1:5" x14ac:dyDescent="0.25">
      <c r="A155" t="s">
        <v>6</v>
      </c>
      <c r="B155">
        <v>16</v>
      </c>
      <c r="C155" s="1">
        <v>4.3209592501322398E-5</v>
      </c>
      <c r="D155">
        <v>7002</v>
      </c>
      <c r="E155">
        <v>227.11114382743801</v>
      </c>
    </row>
    <row r="156" spans="1:5" x14ac:dyDescent="0.25">
      <c r="A156" t="s">
        <v>5</v>
      </c>
      <c r="B156">
        <v>17</v>
      </c>
      <c r="C156" s="1">
        <v>5.5555436346265997E-5</v>
      </c>
      <c r="D156">
        <v>6960</v>
      </c>
      <c r="E156">
        <v>278.107732534408</v>
      </c>
    </row>
    <row r="157" spans="1:5" x14ac:dyDescent="0.25">
      <c r="A157" t="s">
        <v>6</v>
      </c>
      <c r="B157">
        <v>17</v>
      </c>
      <c r="C157" s="1">
        <v>3.3950474527146999E-5</v>
      </c>
      <c r="D157">
        <v>7002</v>
      </c>
      <c r="E157">
        <v>197.50170159339899</v>
      </c>
    </row>
    <row r="158" spans="1:5" x14ac:dyDescent="0.25">
      <c r="A158" t="s">
        <v>5</v>
      </c>
      <c r="B158">
        <v>15</v>
      </c>
      <c r="C158" s="1">
        <v>5.2468909157647E-5</v>
      </c>
      <c r="D158">
        <v>6960</v>
      </c>
      <c r="E158">
        <v>279.21797180175702</v>
      </c>
    </row>
    <row r="159" spans="1:5" x14ac:dyDescent="0.25">
      <c r="A159" t="s">
        <v>6</v>
      </c>
      <c r="B159">
        <v>15</v>
      </c>
      <c r="C159">
        <v>1.01851423581441E-4</v>
      </c>
      <c r="D159">
        <v>7002</v>
      </c>
      <c r="E159">
        <v>201.69841575622499</v>
      </c>
    </row>
    <row r="160" spans="1:5" x14ac:dyDescent="0.25">
      <c r="A160" t="s">
        <v>5</v>
      </c>
      <c r="B160">
        <v>16</v>
      </c>
      <c r="C160" s="1">
        <v>2.1604829364352699E-5</v>
      </c>
      <c r="D160">
        <v>6960</v>
      </c>
      <c r="E160">
        <v>278.84219098091103</v>
      </c>
    </row>
    <row r="161" spans="1:5" x14ac:dyDescent="0.25">
      <c r="A161" t="s">
        <v>6</v>
      </c>
      <c r="B161">
        <v>16</v>
      </c>
      <c r="C161" s="1">
        <v>5.2468975385030102E-5</v>
      </c>
      <c r="D161">
        <v>7002</v>
      </c>
      <c r="E161">
        <v>196.03740096092201</v>
      </c>
    </row>
    <row r="162" spans="1:5" x14ac:dyDescent="0.25">
      <c r="A162" t="s">
        <v>5</v>
      </c>
      <c r="B162">
        <v>17</v>
      </c>
      <c r="C162" s="1">
        <v>4.3209791183471602E-5</v>
      </c>
      <c r="D162">
        <v>6960</v>
      </c>
      <c r="E162">
        <v>278.63624429702702</v>
      </c>
    </row>
    <row r="163" spans="1:5" x14ac:dyDescent="0.25">
      <c r="A163" t="s">
        <v>6</v>
      </c>
      <c r="B163">
        <v>17</v>
      </c>
      <c r="C163" s="1">
        <v>4.6296119689941401E-5</v>
      </c>
      <c r="D163">
        <v>7002</v>
      </c>
      <c r="E163">
        <v>201.21195173263499</v>
      </c>
    </row>
    <row r="164" spans="1:5" x14ac:dyDescent="0.25">
      <c r="A164" t="s">
        <v>5</v>
      </c>
      <c r="B164">
        <v>15</v>
      </c>
      <c r="C164">
        <v>1.0802427927652899E-4</v>
      </c>
      <c r="D164">
        <v>6960</v>
      </c>
      <c r="E164">
        <v>279.34674119949301</v>
      </c>
    </row>
    <row r="165" spans="1:5" x14ac:dyDescent="0.25">
      <c r="A165" t="s">
        <v>6</v>
      </c>
      <c r="B165">
        <v>15</v>
      </c>
      <c r="C165">
        <v>1.17283331023322E-4</v>
      </c>
      <c r="D165">
        <v>7002</v>
      </c>
      <c r="E165">
        <v>199.416844844818</v>
      </c>
    </row>
    <row r="166" spans="1:5" x14ac:dyDescent="0.25">
      <c r="A166" t="s">
        <v>5</v>
      </c>
      <c r="B166">
        <v>16</v>
      </c>
      <c r="C166" s="1">
        <v>1.54320398966471E-5</v>
      </c>
      <c r="D166">
        <v>6960</v>
      </c>
      <c r="E166">
        <v>278.95702767372097</v>
      </c>
    </row>
    <row r="167" spans="1:5" x14ac:dyDescent="0.25">
      <c r="A167" t="s">
        <v>6</v>
      </c>
      <c r="B167">
        <v>16</v>
      </c>
      <c r="C167" s="1">
        <v>4.32096587287055E-5</v>
      </c>
      <c r="D167">
        <v>7002</v>
      </c>
      <c r="E167">
        <v>196.837561368942</v>
      </c>
    </row>
    <row r="168" spans="1:5" x14ac:dyDescent="0.25">
      <c r="A168" t="s">
        <v>5</v>
      </c>
      <c r="B168">
        <v>17</v>
      </c>
      <c r="C168">
        <v>0</v>
      </c>
      <c r="D168">
        <v>6960</v>
      </c>
      <c r="E168">
        <v>280.12077116966202</v>
      </c>
    </row>
    <row r="169" spans="1:5" x14ac:dyDescent="0.25">
      <c r="A169" t="s">
        <v>6</v>
      </c>
      <c r="B169">
        <v>17</v>
      </c>
      <c r="C169" s="1">
        <v>2.7777618832058302E-5</v>
      </c>
      <c r="D169">
        <v>7002</v>
      </c>
      <c r="E169">
        <v>197.71993184089601</v>
      </c>
    </row>
    <row r="170" spans="1:5" x14ac:dyDescent="0.25">
      <c r="A170" t="s">
        <v>5</v>
      </c>
      <c r="B170">
        <v>15</v>
      </c>
      <c r="C170" s="1">
        <v>4.01233302222357E-5</v>
      </c>
      <c r="D170">
        <v>6960</v>
      </c>
      <c r="E170">
        <v>280.05399608611998</v>
      </c>
    </row>
    <row r="171" spans="1:5" x14ac:dyDescent="0.25">
      <c r="A171" t="s">
        <v>6</v>
      </c>
      <c r="B171">
        <v>15</v>
      </c>
      <c r="C171">
        <v>1.8827074103885201E-4</v>
      </c>
      <c r="D171">
        <v>7002</v>
      </c>
      <c r="E171">
        <v>203.172189235687</v>
      </c>
    </row>
    <row r="172" spans="1:5" x14ac:dyDescent="0.25">
      <c r="A172" t="s">
        <v>5</v>
      </c>
      <c r="B172">
        <v>16</v>
      </c>
      <c r="C172" s="1">
        <v>1.8518434630499899E-5</v>
      </c>
      <c r="D172">
        <v>6960</v>
      </c>
      <c r="E172">
        <v>282.17694258689801</v>
      </c>
    </row>
    <row r="173" spans="1:5" x14ac:dyDescent="0.25">
      <c r="A173" t="s">
        <v>6</v>
      </c>
      <c r="B173">
        <v>16</v>
      </c>
      <c r="C173" s="1">
        <v>6.4814620547824396E-5</v>
      </c>
      <c r="D173">
        <v>7002</v>
      </c>
      <c r="E173">
        <v>198.24232196807799</v>
      </c>
    </row>
    <row r="174" spans="1:5" x14ac:dyDescent="0.25">
      <c r="A174" t="s">
        <v>5</v>
      </c>
      <c r="B174">
        <v>17</v>
      </c>
      <c r="C174" s="1">
        <v>2.46912903255886E-5</v>
      </c>
      <c r="D174">
        <v>6960</v>
      </c>
      <c r="E174">
        <v>279.59418749809203</v>
      </c>
    </row>
    <row r="175" spans="1:5" x14ac:dyDescent="0.25">
      <c r="A175" t="s">
        <v>6</v>
      </c>
      <c r="B175">
        <v>17</v>
      </c>
      <c r="C175" s="1">
        <v>4.9382448196411099E-5</v>
      </c>
      <c r="D175">
        <v>7002</v>
      </c>
      <c r="E175">
        <v>197.39094066619799</v>
      </c>
    </row>
    <row r="176" spans="1:5" x14ac:dyDescent="0.25">
      <c r="A176" t="s">
        <v>5</v>
      </c>
      <c r="B176">
        <v>15</v>
      </c>
      <c r="C176">
        <v>1.4506134721967899E-4</v>
      </c>
      <c r="D176">
        <v>6960</v>
      </c>
      <c r="E176">
        <v>278.27787947654701</v>
      </c>
    </row>
    <row r="177" spans="1:5" x14ac:dyDescent="0.25">
      <c r="A177" t="s">
        <v>6</v>
      </c>
      <c r="B177">
        <v>15</v>
      </c>
      <c r="C177">
        <v>1.72838899824354E-4</v>
      </c>
      <c r="D177">
        <v>7002</v>
      </c>
      <c r="E177">
        <v>196.542644739151</v>
      </c>
    </row>
    <row r="178" spans="1:5" x14ac:dyDescent="0.25">
      <c r="A178" t="s">
        <v>5</v>
      </c>
      <c r="B178">
        <v>16</v>
      </c>
      <c r="C178" s="1">
        <v>3.7036869260999799E-5</v>
      </c>
      <c r="D178">
        <v>6960</v>
      </c>
      <c r="E178">
        <v>277.93396258354102</v>
      </c>
    </row>
    <row r="179" spans="1:5" x14ac:dyDescent="0.25">
      <c r="A179" t="s">
        <v>6</v>
      </c>
      <c r="B179">
        <v>16</v>
      </c>
      <c r="C179" s="1">
        <v>4.9382514423794201E-5</v>
      </c>
      <c r="D179">
        <v>7002</v>
      </c>
      <c r="E179">
        <v>196.73774552345199</v>
      </c>
    </row>
    <row r="180" spans="1:5" x14ac:dyDescent="0.25">
      <c r="A180" t="s">
        <v>5</v>
      </c>
      <c r="B180">
        <v>17</v>
      </c>
      <c r="C180" s="1">
        <v>6.1727894677056204E-6</v>
      </c>
      <c r="D180">
        <v>6960</v>
      </c>
      <c r="E180">
        <v>276.34624767303399</v>
      </c>
    </row>
    <row r="181" spans="1:5" x14ac:dyDescent="0.25">
      <c r="A181" t="s">
        <v>6</v>
      </c>
      <c r="B181">
        <v>17</v>
      </c>
      <c r="C181" s="1">
        <v>1.8518434630499899E-5</v>
      </c>
      <c r="D181">
        <v>7002</v>
      </c>
      <c r="E181">
        <v>196.93923664093001</v>
      </c>
    </row>
    <row r="182" spans="1:5" x14ac:dyDescent="0.25">
      <c r="A182" t="s">
        <v>5</v>
      </c>
      <c r="B182">
        <v>15</v>
      </c>
      <c r="C182" s="1">
        <v>9.5678634113735602E-5</v>
      </c>
      <c r="D182">
        <v>6960</v>
      </c>
      <c r="E182">
        <v>277.62439012527398</v>
      </c>
    </row>
    <row r="183" spans="1:5" x14ac:dyDescent="0.25">
      <c r="A183" t="s">
        <v>6</v>
      </c>
      <c r="B183">
        <v>15</v>
      </c>
      <c r="C183">
        <v>1.17283397250705E-4</v>
      </c>
      <c r="D183">
        <v>7002</v>
      </c>
      <c r="E183">
        <v>204.40964245796201</v>
      </c>
    </row>
    <row r="184" spans="1:5" x14ac:dyDescent="0.25">
      <c r="A184" t="s">
        <v>5</v>
      </c>
      <c r="B184">
        <v>16</v>
      </c>
      <c r="C184" s="1">
        <v>9.5678634113735602E-5</v>
      </c>
      <c r="D184">
        <v>6960</v>
      </c>
      <c r="E184">
        <v>277.430687189102</v>
      </c>
    </row>
    <row r="185" spans="1:5" x14ac:dyDescent="0.25">
      <c r="A185" t="s">
        <v>6</v>
      </c>
      <c r="B185">
        <v>16</v>
      </c>
      <c r="C185" s="1">
        <v>3.0864013565911098E-5</v>
      </c>
      <c r="D185">
        <v>7002</v>
      </c>
      <c r="E185">
        <v>203.60632014274501</v>
      </c>
    </row>
    <row r="186" spans="1:5" x14ac:dyDescent="0.25">
      <c r="A186" t="s">
        <v>5</v>
      </c>
      <c r="B186">
        <v>17</v>
      </c>
      <c r="C186">
        <v>0</v>
      </c>
      <c r="D186">
        <v>6960</v>
      </c>
      <c r="E186">
        <v>276.60375738143898</v>
      </c>
    </row>
    <row r="187" spans="1:5" x14ac:dyDescent="0.25">
      <c r="A187" t="s">
        <v>6</v>
      </c>
      <c r="B187">
        <v>17</v>
      </c>
      <c r="C187" s="1">
        <v>1.8518434630499899E-5</v>
      </c>
      <c r="D187">
        <v>7002</v>
      </c>
      <c r="E187">
        <v>196.88413476943899</v>
      </c>
    </row>
    <row r="188" spans="1:5" x14ac:dyDescent="0.25">
      <c r="A188" t="s">
        <v>5</v>
      </c>
      <c r="B188">
        <v>15</v>
      </c>
      <c r="C188" s="1">
        <v>5.8641831080118803E-5</v>
      </c>
      <c r="D188">
        <v>6960</v>
      </c>
      <c r="E188">
        <v>278.83537030219998</v>
      </c>
    </row>
    <row r="189" spans="1:5" x14ac:dyDescent="0.25">
      <c r="A189" t="s">
        <v>6</v>
      </c>
      <c r="B189">
        <v>15</v>
      </c>
      <c r="C189">
        <v>1.5432026651170501E-4</v>
      </c>
      <c r="D189">
        <v>7002</v>
      </c>
      <c r="E189">
        <v>218.45727849006599</v>
      </c>
    </row>
    <row r="190" spans="1:5" x14ac:dyDescent="0.25">
      <c r="A190" t="s">
        <v>5</v>
      </c>
      <c r="B190">
        <v>16</v>
      </c>
      <c r="C190" s="1">
        <v>7.7160265710618696E-5</v>
      </c>
      <c r="D190">
        <v>6960</v>
      </c>
      <c r="E190">
        <v>278.23309183120699</v>
      </c>
    </row>
    <row r="191" spans="1:5" x14ac:dyDescent="0.25">
      <c r="A191" t="s">
        <v>6</v>
      </c>
      <c r="B191">
        <v>16</v>
      </c>
      <c r="C191" s="1">
        <v>1.8518368403116801E-5</v>
      </c>
      <c r="D191">
        <v>7002</v>
      </c>
      <c r="E191">
        <v>197.06053400039599</v>
      </c>
    </row>
    <row r="192" spans="1:5" x14ac:dyDescent="0.25">
      <c r="A192" t="s">
        <v>5</v>
      </c>
      <c r="B192">
        <v>17</v>
      </c>
      <c r="C192" s="1">
        <v>2.46912903255886E-5</v>
      </c>
      <c r="D192">
        <v>6960</v>
      </c>
      <c r="E192">
        <v>277.86699366569502</v>
      </c>
    </row>
    <row r="193" spans="1:5" x14ac:dyDescent="0.25">
      <c r="A193" t="s">
        <v>6</v>
      </c>
      <c r="B193">
        <v>17</v>
      </c>
      <c r="C193" s="1">
        <v>1.8518434630499899E-5</v>
      </c>
      <c r="D193">
        <v>7002</v>
      </c>
      <c r="E193">
        <v>201.55337524414</v>
      </c>
    </row>
    <row r="194" spans="1:5" x14ac:dyDescent="0.25">
      <c r="A194" t="s">
        <v>5</v>
      </c>
      <c r="B194">
        <v>15</v>
      </c>
      <c r="C194">
        <v>1.9135733445485399E-4</v>
      </c>
      <c r="D194">
        <v>6960</v>
      </c>
      <c r="E194">
        <v>279.063749074935</v>
      </c>
    </row>
    <row r="195" spans="1:5" x14ac:dyDescent="0.25">
      <c r="A195" t="s">
        <v>6</v>
      </c>
      <c r="B195">
        <v>15</v>
      </c>
      <c r="C195" s="1">
        <v>8.3332988950941302E-5</v>
      </c>
      <c r="D195">
        <v>7002</v>
      </c>
      <c r="E195">
        <v>202.00766873359601</v>
      </c>
    </row>
    <row r="196" spans="1:5" x14ac:dyDescent="0.25">
      <c r="A196" t="s">
        <v>5</v>
      </c>
      <c r="B196">
        <v>16</v>
      </c>
      <c r="C196" s="1">
        <v>2.77776850594414E-5</v>
      </c>
      <c r="D196">
        <v>6960</v>
      </c>
      <c r="E196">
        <v>278.21732664108202</v>
      </c>
    </row>
    <row r="197" spans="1:5" x14ac:dyDescent="0.25">
      <c r="A197" t="s">
        <v>6</v>
      </c>
      <c r="B197">
        <v>16</v>
      </c>
      <c r="C197" s="1">
        <v>8.6419383684794101E-5</v>
      </c>
      <c r="D197">
        <v>7002</v>
      </c>
      <c r="E197">
        <v>197.651585578918</v>
      </c>
    </row>
    <row r="198" spans="1:5" x14ac:dyDescent="0.25">
      <c r="A198" t="s">
        <v>5</v>
      </c>
      <c r="B198">
        <v>17</v>
      </c>
      <c r="C198" s="1">
        <v>8.6419516139560196E-5</v>
      </c>
      <c r="D198">
        <v>6960</v>
      </c>
      <c r="E198">
        <v>278.755195140838</v>
      </c>
    </row>
    <row r="199" spans="1:5" x14ac:dyDescent="0.25">
      <c r="A199" t="s">
        <v>6</v>
      </c>
      <c r="B199">
        <v>17</v>
      </c>
      <c r="C199" s="1">
        <v>1.8518500857883001E-5</v>
      </c>
      <c r="D199">
        <v>7002</v>
      </c>
      <c r="E199">
        <v>197.428507566452</v>
      </c>
    </row>
    <row r="200" spans="1:5" x14ac:dyDescent="0.25">
      <c r="A200" t="s">
        <v>5</v>
      </c>
      <c r="B200">
        <v>15</v>
      </c>
      <c r="C200" s="1">
        <v>4.3209791183471602E-5</v>
      </c>
      <c r="D200">
        <v>6960</v>
      </c>
      <c r="E200">
        <v>284.65719056129399</v>
      </c>
    </row>
    <row r="201" spans="1:5" x14ac:dyDescent="0.25">
      <c r="A201" t="s">
        <v>6</v>
      </c>
      <c r="B201">
        <v>15</v>
      </c>
      <c r="C201">
        <v>1.01851489808824E-4</v>
      </c>
      <c r="D201">
        <v>7002</v>
      </c>
      <c r="E201">
        <v>206.12860465049701</v>
      </c>
    </row>
    <row r="202" spans="1:5" x14ac:dyDescent="0.25">
      <c r="A202" t="s">
        <v>5</v>
      </c>
      <c r="B202">
        <v>16</v>
      </c>
      <c r="C202" s="1">
        <v>9.2592438062031999E-5</v>
      </c>
      <c r="D202">
        <v>6960</v>
      </c>
      <c r="E202">
        <v>278.314998865127</v>
      </c>
    </row>
    <row r="203" spans="1:5" x14ac:dyDescent="0.25">
      <c r="A203" t="s">
        <v>6</v>
      </c>
      <c r="B203">
        <v>16</v>
      </c>
      <c r="C203" s="1">
        <v>4.0123197767469598E-5</v>
      </c>
      <c r="D203">
        <v>7002</v>
      </c>
      <c r="E203">
        <v>199.02714014053299</v>
      </c>
    </row>
    <row r="204" spans="1:5" x14ac:dyDescent="0.25">
      <c r="A204" t="s">
        <v>5</v>
      </c>
      <c r="B204">
        <v>17</v>
      </c>
      <c r="C204" s="1">
        <v>3.7036935488382901E-5</v>
      </c>
      <c r="D204">
        <v>6960</v>
      </c>
      <c r="E204">
        <v>277.74611258506701</v>
      </c>
    </row>
    <row r="205" spans="1:5" x14ac:dyDescent="0.25">
      <c r="A205" t="s">
        <v>6</v>
      </c>
      <c r="B205">
        <v>17</v>
      </c>
      <c r="C205" s="1">
        <v>3.7036869260999799E-5</v>
      </c>
      <c r="D205">
        <v>7002</v>
      </c>
      <c r="E205">
        <v>198.38796138763399</v>
      </c>
    </row>
    <row r="206" spans="1:5" x14ac:dyDescent="0.25">
      <c r="A206" t="s">
        <v>5</v>
      </c>
      <c r="B206">
        <v>15</v>
      </c>
      <c r="C206" s="1">
        <v>6.1728292041354698E-5</v>
      </c>
      <c r="D206">
        <v>6960</v>
      </c>
      <c r="E206">
        <v>278.94901442527703</v>
      </c>
    </row>
    <row r="207" spans="1:5" x14ac:dyDescent="0.25">
      <c r="A207" t="s">
        <v>6</v>
      </c>
      <c r="B207">
        <v>15</v>
      </c>
      <c r="C207">
        <v>1.63579450713263E-4</v>
      </c>
      <c r="D207">
        <v>7002</v>
      </c>
      <c r="E207">
        <v>198.03720545768701</v>
      </c>
    </row>
    <row r="208" spans="1:5" x14ac:dyDescent="0.25">
      <c r="A208" t="s">
        <v>5</v>
      </c>
      <c r="B208">
        <v>16</v>
      </c>
      <c r="C208" s="1">
        <v>1.23456451627943E-5</v>
      </c>
      <c r="D208">
        <v>6960</v>
      </c>
      <c r="E208">
        <v>278.528343439102</v>
      </c>
    </row>
    <row r="209" spans="1:5" x14ac:dyDescent="0.25">
      <c r="A209" t="s">
        <v>6</v>
      </c>
      <c r="B209">
        <v>16</v>
      </c>
      <c r="C209" s="1">
        <v>4.6296053462558299E-5</v>
      </c>
      <c r="D209">
        <v>7002</v>
      </c>
      <c r="E209">
        <v>197.72066807746799</v>
      </c>
    </row>
    <row r="210" spans="1:5" x14ac:dyDescent="0.25">
      <c r="A210" t="s">
        <v>5</v>
      </c>
      <c r="B210">
        <v>17</v>
      </c>
      <c r="C210">
        <v>0</v>
      </c>
      <c r="D210">
        <v>6960</v>
      </c>
      <c r="E210">
        <v>276.96483802795399</v>
      </c>
    </row>
    <row r="211" spans="1:5" x14ac:dyDescent="0.25">
      <c r="A211" t="s">
        <v>6</v>
      </c>
      <c r="B211">
        <v>17</v>
      </c>
      <c r="C211" s="1">
        <v>6.1727894677056204E-6</v>
      </c>
      <c r="D211">
        <v>7002</v>
      </c>
      <c r="E211">
        <v>201.406985044479</v>
      </c>
    </row>
    <row r="212" spans="1:5" x14ac:dyDescent="0.25">
      <c r="A212" t="s">
        <v>5</v>
      </c>
      <c r="B212">
        <v>15</v>
      </c>
      <c r="C212" s="1">
        <v>7.0987410015529995E-5</v>
      </c>
      <c r="D212">
        <v>6960</v>
      </c>
      <c r="E212">
        <v>280.33346509933398</v>
      </c>
    </row>
    <row r="213" spans="1:5" x14ac:dyDescent="0.25">
      <c r="A213" t="s">
        <v>6</v>
      </c>
      <c r="B213">
        <v>15</v>
      </c>
      <c r="C213">
        <v>2.6234467824300101E-4</v>
      </c>
      <c r="D213">
        <v>7002</v>
      </c>
      <c r="E213">
        <v>238.898378849029</v>
      </c>
    </row>
    <row r="214" spans="1:5" x14ac:dyDescent="0.25">
      <c r="A214" t="s">
        <v>5</v>
      </c>
      <c r="B214">
        <v>16</v>
      </c>
      <c r="C214" s="1">
        <v>4.9382514423794201E-5</v>
      </c>
      <c r="D214">
        <v>6960</v>
      </c>
      <c r="E214">
        <v>277.82127785682599</v>
      </c>
    </row>
    <row r="215" spans="1:5" x14ac:dyDescent="0.25">
      <c r="A215" t="s">
        <v>6</v>
      </c>
      <c r="B215">
        <v>16</v>
      </c>
      <c r="C215" s="1">
        <v>4.32097249560885E-5</v>
      </c>
      <c r="D215">
        <v>7002</v>
      </c>
      <c r="E215">
        <v>198.84367203712401</v>
      </c>
    </row>
    <row r="216" spans="1:5" x14ac:dyDescent="0.25">
      <c r="A216" t="s">
        <v>5</v>
      </c>
      <c r="B216">
        <v>17</v>
      </c>
      <c r="C216" s="1">
        <v>2.46912903255886E-5</v>
      </c>
      <c r="D216">
        <v>6960</v>
      </c>
      <c r="E216">
        <v>276.769485950469</v>
      </c>
    </row>
    <row r="217" spans="1:5" x14ac:dyDescent="0.25">
      <c r="A217" t="s">
        <v>6</v>
      </c>
      <c r="B217">
        <v>17</v>
      </c>
      <c r="C217" s="1">
        <v>6.1727894677056204E-6</v>
      </c>
      <c r="D217">
        <v>7002</v>
      </c>
      <c r="E217">
        <v>201.13288855552599</v>
      </c>
    </row>
    <row r="218" spans="1:5" x14ac:dyDescent="0.25">
      <c r="A218" t="s">
        <v>5</v>
      </c>
      <c r="B218">
        <v>15</v>
      </c>
      <c r="C218" s="1">
        <v>5.5555370118882902E-5</v>
      </c>
      <c r="D218">
        <v>6960</v>
      </c>
      <c r="E218">
        <v>280.07479763031</v>
      </c>
    </row>
    <row r="219" spans="1:5" x14ac:dyDescent="0.25">
      <c r="A219" t="s">
        <v>6</v>
      </c>
      <c r="B219">
        <v>15</v>
      </c>
      <c r="C219" s="1">
        <v>7.7160199483235594E-5</v>
      </c>
      <c r="D219">
        <v>7002</v>
      </c>
      <c r="E219">
        <v>200.92205643653801</v>
      </c>
    </row>
    <row r="220" spans="1:5" x14ac:dyDescent="0.25">
      <c r="A220" t="s">
        <v>5</v>
      </c>
      <c r="B220">
        <v>16</v>
      </c>
      <c r="C220" s="1">
        <v>2.46912903255886E-5</v>
      </c>
      <c r="D220">
        <v>6960</v>
      </c>
      <c r="E220">
        <v>277.51199412345801</v>
      </c>
    </row>
    <row r="221" spans="1:5" x14ac:dyDescent="0.25">
      <c r="A221" t="s">
        <v>6</v>
      </c>
      <c r="B221">
        <v>16</v>
      </c>
      <c r="C221" s="1">
        <v>8.3333055178324295E-5</v>
      </c>
      <c r="D221">
        <v>7002</v>
      </c>
      <c r="E221">
        <v>196.513633728027</v>
      </c>
    </row>
    <row r="222" spans="1:5" x14ac:dyDescent="0.25">
      <c r="A222" t="s">
        <v>5</v>
      </c>
      <c r="B222">
        <v>17</v>
      </c>
      <c r="C222">
        <v>0</v>
      </c>
      <c r="D222">
        <v>6960</v>
      </c>
      <c r="E222">
        <v>276.918885707855</v>
      </c>
    </row>
    <row r="223" spans="1:5" x14ac:dyDescent="0.25">
      <c r="A223" t="s">
        <v>6</v>
      </c>
      <c r="B223">
        <v>17</v>
      </c>
      <c r="C223" s="1">
        <v>2.1604895591735801E-5</v>
      </c>
      <c r="D223">
        <v>7002</v>
      </c>
      <c r="E223">
        <v>198.10306859016401</v>
      </c>
    </row>
    <row r="224" spans="1:5" x14ac:dyDescent="0.25">
      <c r="A224" t="s">
        <v>5</v>
      </c>
      <c r="B224">
        <v>15</v>
      </c>
      <c r="C224" s="1">
        <v>7.0987410015529995E-5</v>
      </c>
      <c r="D224">
        <v>6960</v>
      </c>
      <c r="E224">
        <v>278.39460182189902</v>
      </c>
    </row>
    <row r="225" spans="1:5" x14ac:dyDescent="0.25">
      <c r="A225" t="s">
        <v>6</v>
      </c>
      <c r="B225">
        <v>15</v>
      </c>
      <c r="C225" s="1">
        <v>8.0246594217088394E-5</v>
      </c>
      <c r="D225">
        <v>7002</v>
      </c>
      <c r="E225">
        <v>197.139944791793</v>
      </c>
    </row>
    <row r="226" spans="1:5" x14ac:dyDescent="0.25">
      <c r="A226" t="s">
        <v>5</v>
      </c>
      <c r="B226">
        <v>16</v>
      </c>
      <c r="C226">
        <v>2.0678970548841601E-4</v>
      </c>
      <c r="D226">
        <v>6960</v>
      </c>
      <c r="E226">
        <v>276.68836998939503</v>
      </c>
    </row>
    <row r="227" spans="1:5" x14ac:dyDescent="0.25">
      <c r="A227" t="s">
        <v>6</v>
      </c>
      <c r="B227">
        <v>16</v>
      </c>
      <c r="C227" s="1">
        <v>7.0987277560763805E-5</v>
      </c>
      <c r="D227">
        <v>7002</v>
      </c>
      <c r="E227">
        <v>196.45403909683199</v>
      </c>
    </row>
    <row r="228" spans="1:5" x14ac:dyDescent="0.25">
      <c r="A228" t="s">
        <v>5</v>
      </c>
      <c r="B228">
        <v>17</v>
      </c>
      <c r="C228" s="1">
        <v>9.2592504289415108E-6</v>
      </c>
      <c r="D228">
        <v>6960</v>
      </c>
      <c r="E228">
        <v>277.78551149368201</v>
      </c>
    </row>
    <row r="229" spans="1:5" x14ac:dyDescent="0.25">
      <c r="A229" t="s">
        <v>6</v>
      </c>
      <c r="B229">
        <v>17</v>
      </c>
      <c r="C229" s="1">
        <v>3.08640797932942E-5</v>
      </c>
      <c r="D229">
        <v>7002</v>
      </c>
      <c r="E229">
        <v>201.15230131149201</v>
      </c>
    </row>
    <row r="230" spans="1:5" x14ac:dyDescent="0.25">
      <c r="A230" t="s">
        <v>5</v>
      </c>
      <c r="B230">
        <v>15</v>
      </c>
      <c r="C230">
        <v>1.66666176584031E-4</v>
      </c>
      <c r="D230">
        <v>6960</v>
      </c>
      <c r="E230">
        <v>280.74046730995099</v>
      </c>
    </row>
    <row r="231" spans="1:5" x14ac:dyDescent="0.25">
      <c r="A231" t="s">
        <v>6</v>
      </c>
      <c r="B231">
        <v>15</v>
      </c>
      <c r="C231">
        <v>1.08024345503913E-4</v>
      </c>
      <c r="D231">
        <v>7002</v>
      </c>
      <c r="E231">
        <v>226.41179919242799</v>
      </c>
    </row>
    <row r="232" spans="1:5" x14ac:dyDescent="0.25">
      <c r="A232" t="s">
        <v>5</v>
      </c>
      <c r="B232">
        <v>16</v>
      </c>
      <c r="C232" s="1">
        <v>2.77776850594414E-5</v>
      </c>
      <c r="D232">
        <v>6960</v>
      </c>
      <c r="E232">
        <v>275.37179541587801</v>
      </c>
    </row>
    <row r="233" spans="1:5" x14ac:dyDescent="0.25">
      <c r="A233" t="s">
        <v>6</v>
      </c>
      <c r="B233">
        <v>16</v>
      </c>
      <c r="C233" s="1">
        <v>8.9505844646030003E-5</v>
      </c>
      <c r="D233">
        <v>7002</v>
      </c>
      <c r="E233">
        <v>194.62713098526001</v>
      </c>
    </row>
    <row r="234" spans="1:5" x14ac:dyDescent="0.25">
      <c r="A234" t="s">
        <v>5</v>
      </c>
      <c r="B234">
        <v>17</v>
      </c>
      <c r="C234" s="1">
        <v>5.2469041612413197E-5</v>
      </c>
      <c r="D234">
        <v>6960</v>
      </c>
      <c r="E234">
        <v>271.73935174942</v>
      </c>
    </row>
    <row r="235" spans="1:5" x14ac:dyDescent="0.25">
      <c r="A235" t="s">
        <v>6</v>
      </c>
      <c r="B235">
        <v>17</v>
      </c>
      <c r="C235" s="1">
        <v>3.3950474527146999E-5</v>
      </c>
      <c r="D235">
        <v>7002</v>
      </c>
      <c r="E235">
        <v>194.00667572021399</v>
      </c>
    </row>
    <row r="236" spans="1:5" x14ac:dyDescent="0.25">
      <c r="A236" t="s">
        <v>5</v>
      </c>
      <c r="B236">
        <v>15</v>
      </c>
      <c r="C236">
        <v>1.17283662160237E-4</v>
      </c>
      <c r="D236">
        <v>6960</v>
      </c>
      <c r="E236">
        <v>272.361842870712</v>
      </c>
    </row>
    <row r="237" spans="1:5" x14ac:dyDescent="0.25">
      <c r="A237" t="s">
        <v>6</v>
      </c>
      <c r="B237">
        <v>15</v>
      </c>
      <c r="C237" s="1">
        <v>9.8765028847588401E-5</v>
      </c>
      <c r="D237">
        <v>7002</v>
      </c>
      <c r="E237">
        <v>193.180212020874</v>
      </c>
    </row>
    <row r="238" spans="1:5" x14ac:dyDescent="0.25">
      <c r="A238" t="s">
        <v>5</v>
      </c>
      <c r="B238">
        <v>16</v>
      </c>
      <c r="C238" s="1">
        <v>6.7901081509060297E-5</v>
      </c>
      <c r="D238">
        <v>6960</v>
      </c>
      <c r="E238">
        <v>272.19692349433899</v>
      </c>
    </row>
    <row r="239" spans="1:5" x14ac:dyDescent="0.25">
      <c r="A239" t="s">
        <v>6</v>
      </c>
      <c r="B239">
        <v>16</v>
      </c>
      <c r="C239" s="1">
        <v>6.4814554320441294E-5</v>
      </c>
      <c r="D239">
        <v>7002</v>
      </c>
      <c r="E239">
        <v>193.52382469177201</v>
      </c>
    </row>
    <row r="240" spans="1:5" x14ac:dyDescent="0.25">
      <c r="A240" t="s">
        <v>5</v>
      </c>
      <c r="B240">
        <v>17</v>
      </c>
      <c r="C240">
        <v>0</v>
      </c>
      <c r="D240">
        <v>6960</v>
      </c>
      <c r="E240">
        <v>272.160090446472</v>
      </c>
    </row>
    <row r="241" spans="1:5" x14ac:dyDescent="0.25">
      <c r="A241" t="s">
        <v>6</v>
      </c>
      <c r="B241">
        <v>17</v>
      </c>
      <c r="C241" s="1">
        <v>3.3950474527146999E-5</v>
      </c>
      <c r="D241">
        <v>7002</v>
      </c>
      <c r="E241">
        <v>194.11606574058499</v>
      </c>
    </row>
    <row r="242" spans="1:5" x14ac:dyDescent="0.25">
      <c r="A242" t="s">
        <v>5</v>
      </c>
      <c r="B242">
        <v>15</v>
      </c>
      <c r="C242" s="1">
        <v>6.7900949054294093E-5</v>
      </c>
      <c r="D242">
        <v>6960</v>
      </c>
      <c r="E242">
        <v>273.05241441726599</v>
      </c>
    </row>
    <row r="243" spans="1:5" x14ac:dyDescent="0.25">
      <c r="A243" t="s">
        <v>6</v>
      </c>
      <c r="B243">
        <v>15</v>
      </c>
      <c r="C243">
        <v>1.01851423581441E-4</v>
      </c>
      <c r="D243">
        <v>7002</v>
      </c>
      <c r="E243">
        <v>193.767526626586</v>
      </c>
    </row>
    <row r="244" spans="1:5" x14ac:dyDescent="0.25">
      <c r="A244" t="s">
        <v>5</v>
      </c>
      <c r="B244">
        <v>16</v>
      </c>
      <c r="C244" s="1">
        <v>7.7160331938001798E-5</v>
      </c>
      <c r="D244">
        <v>6960</v>
      </c>
      <c r="E244">
        <v>273.43625926971401</v>
      </c>
    </row>
    <row r="245" spans="1:5" x14ac:dyDescent="0.25">
      <c r="A245" t="s">
        <v>6</v>
      </c>
      <c r="B245">
        <v>16</v>
      </c>
      <c r="C245" s="1">
        <v>3.7036869260999799E-5</v>
      </c>
      <c r="D245">
        <v>7002</v>
      </c>
      <c r="E245">
        <v>193.568720579147</v>
      </c>
    </row>
    <row r="246" spans="1:5" x14ac:dyDescent="0.25">
      <c r="A246" t="s">
        <v>5</v>
      </c>
      <c r="B246">
        <v>17</v>
      </c>
      <c r="C246" s="1">
        <v>1.23455789354112E-5</v>
      </c>
      <c r="D246">
        <v>6960</v>
      </c>
      <c r="E246">
        <v>272.467669486999</v>
      </c>
    </row>
    <row r="247" spans="1:5" x14ac:dyDescent="0.25">
      <c r="A247" t="s">
        <v>6</v>
      </c>
      <c r="B247">
        <v>17</v>
      </c>
      <c r="C247" s="1">
        <v>1.8518368403116801E-5</v>
      </c>
      <c r="D247">
        <v>7002</v>
      </c>
      <c r="E247">
        <v>193.06782460212699</v>
      </c>
    </row>
    <row r="248" spans="1:5" x14ac:dyDescent="0.25">
      <c r="A248" t="s">
        <v>5</v>
      </c>
      <c r="B248">
        <v>15</v>
      </c>
      <c r="C248" s="1">
        <v>7.0987476242913097E-5</v>
      </c>
      <c r="D248">
        <v>6960</v>
      </c>
      <c r="E248">
        <v>273.20261287689198</v>
      </c>
    </row>
    <row r="249" spans="1:5" x14ac:dyDescent="0.25">
      <c r="A249" t="s">
        <v>6</v>
      </c>
      <c r="B249">
        <v>15</v>
      </c>
      <c r="C249">
        <v>1.5740659501817399E-4</v>
      </c>
      <c r="D249">
        <v>7002</v>
      </c>
      <c r="E249">
        <v>193.60996127128601</v>
      </c>
    </row>
    <row r="250" spans="1:5" x14ac:dyDescent="0.25">
      <c r="A250" t="s">
        <v>5</v>
      </c>
      <c r="B250">
        <v>16</v>
      </c>
      <c r="C250" s="1">
        <v>4.3209791183471602E-5</v>
      </c>
      <c r="D250">
        <v>6960</v>
      </c>
      <c r="E250">
        <v>272.47001886367798</v>
      </c>
    </row>
    <row r="251" spans="1:5" x14ac:dyDescent="0.25">
      <c r="A251" t="s">
        <v>6</v>
      </c>
      <c r="B251">
        <v>16</v>
      </c>
      <c r="C251" s="1">
        <v>4.6295987235175198E-5</v>
      </c>
      <c r="D251">
        <v>7002</v>
      </c>
      <c r="E251">
        <v>193.383861780166</v>
      </c>
    </row>
    <row r="252" spans="1:5" x14ac:dyDescent="0.25">
      <c r="A252" t="s">
        <v>5</v>
      </c>
      <c r="B252">
        <v>17</v>
      </c>
      <c r="C252">
        <v>0</v>
      </c>
      <c r="D252">
        <v>6960</v>
      </c>
      <c r="E252">
        <v>272.51566267013499</v>
      </c>
    </row>
    <row r="253" spans="1:5" x14ac:dyDescent="0.25">
      <c r="A253" t="s">
        <v>6</v>
      </c>
      <c r="B253">
        <v>17</v>
      </c>
      <c r="C253" s="1">
        <v>1.8518434630499899E-5</v>
      </c>
      <c r="D253">
        <v>7002</v>
      </c>
      <c r="E253">
        <v>193.20172977447501</v>
      </c>
    </row>
    <row r="254" spans="1:5" x14ac:dyDescent="0.25">
      <c r="A254" t="s">
        <v>5</v>
      </c>
      <c r="B254">
        <v>15</v>
      </c>
      <c r="C254">
        <v>1.2962930732303101E-4</v>
      </c>
      <c r="D254">
        <v>6960</v>
      </c>
      <c r="E254">
        <v>272.97567915916397</v>
      </c>
    </row>
    <row r="255" spans="1:5" x14ac:dyDescent="0.25">
      <c r="A255" t="s">
        <v>6</v>
      </c>
      <c r="B255">
        <v>15</v>
      </c>
      <c r="C255" s="1">
        <v>9.5678501658969398E-5</v>
      </c>
      <c r="D255">
        <v>7002</v>
      </c>
      <c r="E255">
        <v>193.495014905929</v>
      </c>
    </row>
    <row r="256" spans="1:5" x14ac:dyDescent="0.25">
      <c r="A256" t="s">
        <v>5</v>
      </c>
      <c r="B256">
        <v>16</v>
      </c>
      <c r="C256" s="1">
        <v>7.0987476242913097E-5</v>
      </c>
      <c r="D256">
        <v>6960</v>
      </c>
      <c r="E256">
        <v>273.01051998138399</v>
      </c>
    </row>
    <row r="257" spans="1:5" x14ac:dyDescent="0.25">
      <c r="A257" t="s">
        <v>6</v>
      </c>
      <c r="B257">
        <v>16</v>
      </c>
      <c r="C257" s="1">
        <v>4.32096587287055E-5</v>
      </c>
      <c r="D257">
        <v>7002</v>
      </c>
      <c r="E257">
        <v>193.338158607482</v>
      </c>
    </row>
    <row r="258" spans="1:5" x14ac:dyDescent="0.25">
      <c r="A258" t="s">
        <v>5</v>
      </c>
      <c r="B258">
        <v>17</v>
      </c>
      <c r="C258" s="1">
        <v>9.2592504289415108E-6</v>
      </c>
      <c r="D258">
        <v>6960</v>
      </c>
      <c r="E258">
        <v>274.29940724372801</v>
      </c>
    </row>
    <row r="259" spans="1:5" x14ac:dyDescent="0.25">
      <c r="A259" t="s">
        <v>6</v>
      </c>
      <c r="B259">
        <v>17</v>
      </c>
      <c r="C259" s="1">
        <v>4.9382514423794201E-5</v>
      </c>
      <c r="D259">
        <v>7002</v>
      </c>
      <c r="E259">
        <v>194.92244267463599</v>
      </c>
    </row>
    <row r="260" spans="1:5" x14ac:dyDescent="0.25">
      <c r="A260" t="s">
        <v>5</v>
      </c>
      <c r="B260">
        <v>15</v>
      </c>
      <c r="C260">
        <v>1.04938083224826E-4</v>
      </c>
      <c r="D260">
        <v>6960</v>
      </c>
      <c r="E260">
        <v>297.44538402557299</v>
      </c>
    </row>
    <row r="261" spans="1:5" x14ac:dyDescent="0.25">
      <c r="A261" t="s">
        <v>6</v>
      </c>
      <c r="B261">
        <v>15</v>
      </c>
      <c r="C261" s="1">
        <v>8.6419317457410999E-5</v>
      </c>
      <c r="D261">
        <v>7002</v>
      </c>
      <c r="E261">
        <v>227.214365959167</v>
      </c>
    </row>
    <row r="262" spans="1:5" x14ac:dyDescent="0.25">
      <c r="A262" t="s">
        <v>5</v>
      </c>
      <c r="B262">
        <v>16</v>
      </c>
      <c r="C262" s="1">
        <v>1.54320398966471E-5</v>
      </c>
      <c r="D262">
        <v>6960</v>
      </c>
      <c r="E262">
        <v>335.251853704452</v>
      </c>
    </row>
    <row r="263" spans="1:5" x14ac:dyDescent="0.25">
      <c r="A263" t="s">
        <v>6</v>
      </c>
      <c r="B263">
        <v>16</v>
      </c>
      <c r="C263" s="1">
        <v>2.7777618832058302E-5</v>
      </c>
      <c r="D263">
        <v>7002</v>
      </c>
      <c r="E263">
        <v>212.95742654800401</v>
      </c>
    </row>
    <row r="264" spans="1:5" x14ac:dyDescent="0.25">
      <c r="A264" t="s">
        <v>5</v>
      </c>
      <c r="B264">
        <v>17</v>
      </c>
      <c r="C264" s="1">
        <v>4.32097249560885E-5</v>
      </c>
      <c r="D264">
        <v>6960</v>
      </c>
      <c r="E264">
        <v>291.77520585060103</v>
      </c>
    </row>
    <row r="265" spans="1:5" x14ac:dyDescent="0.25">
      <c r="A265" t="s">
        <v>6</v>
      </c>
      <c r="B265">
        <v>17</v>
      </c>
      <c r="C265" s="1">
        <v>3.08640797932942E-5</v>
      </c>
      <c r="D265">
        <v>7002</v>
      </c>
      <c r="E265">
        <v>284.54056477546601</v>
      </c>
    </row>
    <row r="266" spans="1:5" x14ac:dyDescent="0.25">
      <c r="A266" t="s">
        <v>5</v>
      </c>
      <c r="B266">
        <v>15</v>
      </c>
      <c r="C266" s="1">
        <v>4.01232639948527E-5</v>
      </c>
      <c r="D266">
        <v>6960</v>
      </c>
      <c r="E266">
        <v>320.44457149505598</v>
      </c>
    </row>
    <row r="267" spans="1:5" x14ac:dyDescent="0.25">
      <c r="A267" t="s">
        <v>6</v>
      </c>
      <c r="B267">
        <v>15</v>
      </c>
      <c r="C267" s="1">
        <v>8.0246395534939197E-5</v>
      </c>
      <c r="D267">
        <v>7002</v>
      </c>
      <c r="E267">
        <v>323.19285798072798</v>
      </c>
    </row>
    <row r="268" spans="1:5" x14ac:dyDescent="0.25">
      <c r="A268" t="s">
        <v>5</v>
      </c>
      <c r="B268">
        <v>16</v>
      </c>
      <c r="C268" s="1">
        <v>5.5555370118882902E-5</v>
      </c>
      <c r="D268">
        <v>6960</v>
      </c>
      <c r="E268">
        <v>284.21538829803399</v>
      </c>
    </row>
    <row r="269" spans="1:5" x14ac:dyDescent="0.25">
      <c r="A269" t="s">
        <v>6</v>
      </c>
      <c r="B269">
        <v>16</v>
      </c>
      <c r="C269" s="1">
        <v>4.9382514423794201E-5</v>
      </c>
      <c r="D269">
        <v>7002</v>
      </c>
      <c r="E269">
        <v>227.25931596755899</v>
      </c>
    </row>
    <row r="270" spans="1:5" x14ac:dyDescent="0.25">
      <c r="A270" t="s">
        <v>5</v>
      </c>
      <c r="B270">
        <v>17</v>
      </c>
      <c r="C270" s="1">
        <v>4.9382580651177302E-5</v>
      </c>
      <c r="D270">
        <v>6960</v>
      </c>
      <c r="E270">
        <v>293.13745665550198</v>
      </c>
    </row>
    <row r="271" spans="1:5" x14ac:dyDescent="0.25">
      <c r="A271" t="s">
        <v>6</v>
      </c>
      <c r="B271">
        <v>17</v>
      </c>
      <c r="C271" s="1">
        <v>1.8518500857883001E-5</v>
      </c>
      <c r="D271">
        <v>7002</v>
      </c>
      <c r="E271">
        <v>222.14380121231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mc_0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גיל צוקרמן</dc:creator>
  <cp:lastModifiedBy>גיל צוקרמן</cp:lastModifiedBy>
  <dcterms:created xsi:type="dcterms:W3CDTF">2025-11-22T07:18:22Z</dcterms:created>
  <dcterms:modified xsi:type="dcterms:W3CDTF">2025-11-22T10:22:22Z</dcterms:modified>
</cp:coreProperties>
</file>